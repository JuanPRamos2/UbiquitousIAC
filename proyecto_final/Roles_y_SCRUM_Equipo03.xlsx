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dentificacion" sheetId="1" state="visible" r:id="rId3"/>
    <sheet name="Roles" sheetId="2" state="visible" r:id="rId4"/>
    <sheet name="SCRUM" sheetId="3" state="visible" r:id="rId5"/>
    <sheet name="Backlog" sheetId="4" state="visible" r:id="rId6"/>
    <sheet name="Sprints" sheetId="5" state="visible" r:id="rId7"/>
    <sheet name="SprintActual" sheetId="6" state="visible" r:id="rId8"/>
    <sheet name="RACI" sheetId="7" state="visible" r:id="rId9"/>
    <sheet name="DoD" sheetId="8" state="visible" r:id="rId10"/>
    <sheet name="Impediment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<sst xmlns="http://schemas.openxmlformats.org/spreadsheetml/2006/main" count="767" uniqueCount="447">
  <si>
    <t xml:space="preserve">Roles y SCRUM — Equipo 03</t>
  </si>
  <si>
    <t xml:space="preserve">Proyecto 4. Plataforma de bienestar laboral y prevencion de burnout</t>
  </si>
  <si>
    <t xml:space="preserve">Campo</t>
  </si>
  <si>
    <t xml:space="preserve">Valor</t>
  </si>
  <si>
    <t xml:space="preserve">Materia</t>
  </si>
  <si>
    <t xml:space="preserve">Integracion de Aplicaciones Computacionales</t>
  </si>
  <si>
    <t xml:space="preserve">Proyecto</t>
  </si>
  <si>
    <t xml:space="preserve">Equipo</t>
  </si>
  <si>
    <t xml:space="preserve">EQUIPO 03</t>
  </si>
  <si>
    <t xml:space="preserve">Marco de trabajo</t>
  </si>
  <si>
    <t xml:space="preserve">SCRUM con sprints de dos semanas</t>
  </si>
  <si>
    <t xml:space="preserve">Periodo</t>
  </si>
  <si>
    <t xml:space="preserve">Agosto — diciembre 2026</t>
  </si>
  <si>
    <t xml:space="preserve">Archivo de entrega</t>
  </si>
  <si>
    <t xml:space="preserve">Avance1_equipo03.zip</t>
  </si>
  <si>
    <t xml:space="preserve">Integrante</t>
  </si>
  <si>
    <t xml:space="preserve">Matricula</t>
  </si>
  <si>
    <t xml:space="preserve">Rol tecnico</t>
  </si>
  <si>
    <t xml:space="preserve">Rol SCRUM</t>
  </si>
  <si>
    <t xml:space="preserve">Juan Pablo Ramos Salazar</t>
  </si>
  <si>
    <t xml:space="preserve">610248</t>
  </si>
  <si>
    <t xml:space="preserve">Arquitectura, DevOps y seguridad</t>
  </si>
  <si>
    <t xml:space="preserve">Scrum Master</t>
  </si>
  <si>
    <t xml:space="preserve">Ricardo Arath Sanchez Aguirre</t>
  </si>
  <si>
    <t xml:space="preserve">583928</t>
  </si>
  <si>
    <t xml:space="preserve">Sistema web y base de datos relacional</t>
  </si>
  <si>
    <t xml:space="preserve">Development Team</t>
  </si>
  <si>
    <t xml:space="preserve">Gerardo Quiroga Ramirez</t>
  </si>
  <si>
    <t xml:space="preserve">650313</t>
  </si>
  <si>
    <t xml:space="preserve">Microservicios y base de datos no relacional</t>
  </si>
  <si>
    <t xml:space="preserve">Emiliano Pascual Pinales Sanchez</t>
  </si>
  <si>
    <t xml:space="preserve">657657</t>
  </si>
  <si>
    <t xml:space="preserve">Aplicaciones cliente</t>
  </si>
  <si>
    <t xml:space="preserve">Product Owner</t>
  </si>
  <si>
    <t xml:space="preserve">Version</t>
  </si>
  <si>
    <t xml:space="preserve">Fecha</t>
  </si>
  <si>
    <t xml:space="preserve">Autor</t>
  </si>
  <si>
    <t xml:space="preserve">Cambio</t>
  </si>
  <si>
    <t xml:space="preserve">Revisado por</t>
  </si>
  <si>
    <t xml:space="preserve">1.0</t>
  </si>
  <si>
    <t xml:space="preserve">2026-08-10</t>
  </si>
  <si>
    <t xml:space="preserve">Version inicial del documento.</t>
  </si>
  <si>
    <t xml:space="preserve">—</t>
  </si>
  <si>
    <t xml:space="preserve">2.0</t>
  </si>
  <si>
    <t xml:space="preserve">2026-09-29</t>
  </si>
  <si>
    <t xml:space="preserve">Equipo 03</t>
  </si>
  <si>
    <t xml:space="preserve">Reestructuracion completa tras la retroalimentacion del primer avance: se corrige la estructura, se alinea el backlog a los doce modulos solicitados y se agrega matriz RACI, definicion de terminado y registro de impedimentos.</t>
  </si>
  <si>
    <t xml:space="preserve">Los cuatro integrantes</t>
  </si>
  <si>
    <t xml:space="preserve">Este documento se revisa al cierre de cada sprint. Toda fila de este libro fue revisada y validada por el equipo; la columna Revisado por del control de versiones deja constancia de esa revision.</t>
  </si>
  <si>
    <t xml:space="preserve">Roles y responsabilidades del equipo</t>
  </si>
  <si>
    <t xml:space="preserve">La distribucion sigue la asignacion oficial de integrantes del proyecto. Todos conocen la solucion completa.</t>
  </si>
  <si>
    <t xml:space="preserve">Responsabilidades principales</t>
  </si>
  <si>
    <t xml:space="preserve">Entregables de los que es responsable</t>
  </si>
  <si>
    <t xml:space="preserve">Integrante 1 — Arquitectura, DevOps y seguridad</t>
  </si>
  <si>
    <t xml:space="preserve">Arquitectura general. Docker y contenedores. Redes y firewall. Despliegue en Google Cloud Platform y Compute Engine. Balanceo y cluster. JWT y Redis. Monitoreo y endpoints de salud. Integracion continua.</t>
  </si>
  <si>
    <t xml:space="preserve">Diagramas de arquitectura. Arquitectura de hardware. Monorepo y estrategia de ramas. Docker Compose. Estrategia de seguridad. Ambientes developer, staging y production.</t>
  </si>
  <si>
    <t xml:space="preserve">Integrante 2 — Sistema web y base de datos relacional</t>
  </si>
  <si>
    <t xml:space="preserve">Flask, Jinja2, HTML5, CSS3, JavaScript y Highcharts. Modelo y operacion de PostgreSQL. Reglas transaccionales. Usuarios, perfiles y permisos. Reportes y tableros del sistema administrativo.</t>
  </si>
  <si>
    <t xml:space="preserve">Modelo de PostgreSQL. Sistema web minimo funcional. Tableros por perfil. Graficas de tendencia con Highcharts.</t>
  </si>
  <si>
    <t xml:space="preserve">Integrante 3 — Microservicios y base de datos no relacional</t>
  </si>
  <si>
    <t xml:space="preserve">Diseno de APIs REST. Servicios JSON y XML. Documentacion Swagger. MongoDB e integracion con Redis. Procesamiento de eventos. Algoritmos de agregacion y privacidad. Pruebas de carga con Locust.</t>
  </si>
  <si>
    <t xml:space="preserve">Analisis de MongoDB y Redis. Mecanismo de privacidad diferencial. Motor de reglas de riesgo. Catalogo de microservicios (analisis).</t>
  </si>
  <si>
    <t xml:space="preserve">Integrante 4 — Aplicaciones cliente</t>
  </si>
  <si>
    <t xml:space="preserve">Aplicacion Android con consumo JSON. Aplicacion de escritorio con consumo XML. Manejo de JWT en cliente. Integracion con camara, QR, GPS o perifericos. Pruebas de interfaz y validacion de contratos de API.</t>
  </si>
  <si>
    <t xml:space="preserve">Prototipos y wireframes. Analisis de aplicaciones cliente. Pantalla de consentimiento y seccion de transparencia. Validacion de contratos.</t>
  </si>
  <si>
    <t xml:space="preserve">Criterio de integracion: ningun integrante desarrolla un componente aislado. Cada entregable tiene un responsable y al menos un revisor, segun la matriz RACI de la hoja correspondiente.</t>
  </si>
  <si>
    <t xml:space="preserve">Marco SCRUM del equipo</t>
  </si>
  <si>
    <t xml:space="preserve">Roles, ceremonias y artefactos con su cadencia y su responsable.</t>
  </si>
  <si>
    <t xml:space="preserve">Quien lo ejerce</t>
  </si>
  <si>
    <t xml:space="preserve">Responsabilidad en este proyecto</t>
  </si>
  <si>
    <t xml:space="preserve">Representa la voz de la persona colaboradora y de la organizacion. Prioriza el Product Backlog, define criterios de aceptacion y acepta o rechaza cada historia al cierre del sprint.</t>
  </si>
  <si>
    <t xml:space="preserve">Facilita las ceremonias, mantiene el tablero actualizado, registra y da seguimiento a los impedimentos, y cuida que el equipo respete la definicion de terminado.</t>
  </si>
  <si>
    <t xml:space="preserve">Estima, se compromete y construye el incremento de cada sprint. La estimacion es conjunta; nadie estima solo su propia area.</t>
  </si>
  <si>
    <t xml:space="preserve">Ceremonia</t>
  </si>
  <si>
    <t xml:space="preserve">Cadencia</t>
  </si>
  <si>
    <t xml:space="preserve">Duracion</t>
  </si>
  <si>
    <t xml:space="preserve">Participantes</t>
  </si>
  <si>
    <t xml:space="preserve">Resultado</t>
  </si>
  <si>
    <t xml:space="preserve">Sprint Planning</t>
  </si>
  <si>
    <t xml:space="preserve">Inicio de cada sprint</t>
  </si>
  <si>
    <t xml:space="preserve">90 min</t>
  </si>
  <si>
    <t xml:space="preserve">Todo el equipo</t>
  </si>
  <si>
    <t xml:space="preserve">Objetivo del sprint y Sprint Backlog con tareas estimadas.</t>
  </si>
  <si>
    <t xml:space="preserve">Daily Scrum</t>
  </si>
  <si>
    <t xml:space="preserve">Lunes, miercoles y viernes</t>
  </si>
  <si>
    <t xml:space="preserve">15 min</t>
  </si>
  <si>
    <t xml:space="preserve">Avance, plan del dia e impedimentos detectados.</t>
  </si>
  <si>
    <t xml:space="preserve">Sprint Review</t>
  </si>
  <si>
    <t xml:space="preserve">Cierre de cada sprint</t>
  </si>
  <si>
    <t xml:space="preserve">60 min</t>
  </si>
  <si>
    <t xml:space="preserve">Demostracion del incremento ejecutable y aceptacion de historias.</t>
  </si>
  <si>
    <t xml:space="preserve">Sprint Retrospective</t>
  </si>
  <si>
    <t xml:space="preserve">45 min</t>
  </si>
  <si>
    <t xml:space="preserve">Acuerdos de mejora registrados en la hoja de impedimentos.</t>
  </si>
  <si>
    <t xml:space="preserve">Refinamiento de backlog</t>
  </si>
  <si>
    <t xml:space="preserve">Mitad de cada sprint</t>
  </si>
  <si>
    <t xml:space="preserve">Historias del siguiente sprint desglosadas y estimadas.</t>
  </si>
  <si>
    <t xml:space="preserve">Artefacto</t>
  </si>
  <si>
    <t xml:space="preserve">Donde vive</t>
  </si>
  <si>
    <t xml:space="preserve">Quien lo mantiene</t>
  </si>
  <si>
    <t xml:space="preserve">Frecuencia de actualizacion</t>
  </si>
  <si>
    <t xml:space="preserve">Product Backlog</t>
  </si>
  <si>
    <t xml:space="preserve">Hoja Backlog de este libro</t>
  </si>
  <si>
    <t xml:space="preserve">Continua</t>
  </si>
  <si>
    <t xml:space="preserve">Sprint Backlog</t>
  </si>
  <si>
    <t xml:space="preserve">Hoja SprintActual de este libro</t>
  </si>
  <si>
    <t xml:space="preserve">Diaria</t>
  </si>
  <si>
    <t xml:space="preserve">Incremento</t>
  </si>
  <si>
    <t xml:space="preserve">Repositorio monorepo, rama main</t>
  </si>
  <si>
    <t xml:space="preserve">Por sprint</t>
  </si>
  <si>
    <t xml:space="preserve">Definicion de terminado</t>
  </si>
  <si>
    <t xml:space="preserve">Hoja DoD de este libro</t>
  </si>
  <si>
    <t xml:space="preserve">Por retrospectiva</t>
  </si>
  <si>
    <t xml:space="preserve">Registro de impedimentos</t>
  </si>
  <si>
    <t xml:space="preserve">Hoja Impedimentos de este libro</t>
  </si>
  <si>
    <t xml:space="preserve">Escala de estimacion: sucesion de Fibonacci (1, 2, 3, 5, 8, 13) en puntos de historia. Una historia de mas de 13 puntos se divide antes de entrar a un sprint.</t>
  </si>
  <si>
    <t xml:space="preserve">Las epicas E0 a E2 cubren analisis e infraestructura; M01 a M16 corresponden a los modulos del sistema.</t>
  </si>
  <si>
    <t xml:space="preserve">ID</t>
  </si>
  <si>
    <t xml:space="preserve">Epica (modulo)</t>
  </si>
  <si>
    <t xml:space="preserve">Historia de usuario</t>
  </si>
  <si>
    <t xml:space="preserve">Criterio de aceptacion principal</t>
  </si>
  <si>
    <t xml:space="preserve">Prioridad</t>
  </si>
  <si>
    <t xml:space="preserve">Puntos</t>
  </si>
  <si>
    <t xml:space="preserve">Sprint</t>
  </si>
  <si>
    <t xml:space="preserve">Estado</t>
  </si>
  <si>
    <t xml:space="preserve">HU-01</t>
  </si>
  <si>
    <t xml:space="preserve">E0 Analisis y alcance</t>
  </si>
  <si>
    <t xml:space="preserve">Como equipo, quiero delimitar el problema y el alcance, para construir sobre una base entendida.</t>
  </si>
  <si>
    <t xml:space="preserve">El documento cubre contexto, procesos, riesgos y restricciones legales.</t>
  </si>
  <si>
    <t xml:space="preserve">Alta</t>
  </si>
  <si>
    <t xml:space="preserve">S1</t>
  </si>
  <si>
    <t xml:space="preserve">Terminado</t>
  </si>
  <si>
    <t xml:space="preserve">HU-02</t>
  </si>
  <si>
    <t xml:space="preserve">Como equipo, quiero definir actores y su matriz de permisos, para saber quien accede a que.</t>
  </si>
  <si>
    <t xml:space="preserve">Cada perfil declara su granularidad maxima de acceso.</t>
  </si>
  <si>
    <t xml:space="preserve">HU-03</t>
  </si>
  <si>
    <t xml:space="preserve">Como equipo, quiero requerimientos, historias y reglas de negocio, para derivar el diseno.</t>
  </si>
  <si>
    <t xml:space="preserve">Existe matriz de trazabilidad entre requerimiento, historia y regla.</t>
  </si>
  <si>
    <t xml:space="preserve">HU-04</t>
  </si>
  <si>
    <t xml:space="preserve">E1 Arquitectura</t>
  </si>
  <si>
    <t xml:space="preserve">Como equipo, quiero los diagramas de arquitectura, para justificar la distribucion de responsabilidades.</t>
  </si>
  <si>
    <t xml:space="preserve">Se entregan contexto, contenedores, componentes, despliegue, red, secuencia, autenticacion y almacenamiento.</t>
  </si>
  <si>
    <t xml:space="preserve">S2</t>
  </si>
  <si>
    <t xml:space="preserve">HU-05</t>
  </si>
  <si>
    <t xml:space="preserve">Como equipo, quiero el modelo de PostgreSQL, para sostener las operaciones del negocio.</t>
  </si>
  <si>
    <t xml:space="preserve">El modelo separa identidad de respuestas mediante seudonimo.</t>
  </si>
  <si>
    <t xml:space="preserve">HU-06</t>
  </si>
  <si>
    <t xml:space="preserve">Como equipo, quiero prototipos de interfaz, para validar el flujo antes de programar.</t>
  </si>
  <si>
    <t xml:space="preserve">Existen prototipo navegable y wireframes por pantalla.</t>
  </si>
  <si>
    <t xml:space="preserve">Media</t>
  </si>
  <si>
    <t xml:space="preserve">HU-07</t>
  </si>
  <si>
    <t xml:space="preserve">Como equipo, quiero analizar MongoDB y Redis, para justificar su uso futuro.</t>
  </si>
  <si>
    <t xml:space="preserve">Se documenta proposito, estructura e integracion sin implementarlos aun.</t>
  </si>
  <si>
    <t xml:space="preserve">HU-08</t>
  </si>
  <si>
    <t xml:space="preserve">M01 Autenticacion y RBAC</t>
  </si>
  <si>
    <t xml:space="preserve">Como usuario, quiero iniciar y cerrar sesion, para acceder solo a lo que me corresponde.</t>
  </si>
  <si>
    <t xml:space="preserve">El sistema emite un JWT y el menu cambia segun el perfil autenticado.</t>
  </si>
  <si>
    <t xml:space="preserve">S3</t>
  </si>
  <si>
    <t xml:space="preserve">HU-09</t>
  </si>
  <si>
    <t xml:space="preserve">Como administrador, quiero asignar perfiles, para controlar que puede hacer cada persona.</t>
  </si>
  <si>
    <t xml:space="preserve">Un usuario tiene un perfil activo y el cambio queda en bitacora.</t>
  </si>
  <si>
    <t xml:space="preserve">HU-10</t>
  </si>
  <si>
    <t xml:space="preserve">M03 Instrumentos</t>
  </si>
  <si>
    <t xml:space="preserve">Como especialista, quiero administrar instrumentos y reactivos, para mantener vigentes las mediciones.</t>
  </si>
  <si>
    <t xml:space="preserve">Crear una version nueva no altera las respuestas ya capturadas.</t>
  </si>
  <si>
    <t xml:space="preserve">HU-11</t>
  </si>
  <si>
    <t xml:space="preserve">M04 Campanias</t>
  </si>
  <si>
    <t xml:space="preserve">Como especialista, quiero crear, abrir y cerrar campanias, para organizar cada medicion.</t>
  </si>
  <si>
    <t xml:space="preserve">Una campania cerrada deja de aceptar respuestas.</t>
  </si>
  <si>
    <t xml:space="preserve">HU-12</t>
  </si>
  <si>
    <t xml:space="preserve">M05 Autoreporte</t>
  </si>
  <si>
    <t xml:space="preserve">Como sistema, quiero impedir respuestas duplicadas, para que cada persona responda una vez por campania.</t>
  </si>
  <si>
    <t xml:space="preserve">La segunda respuesta a la misma campania es rechazada.</t>
  </si>
  <si>
    <t xml:space="preserve">HU-13</t>
  </si>
  <si>
    <t xml:space="preserve">M06 Agregacion protegida</t>
  </si>
  <si>
    <t xml:space="preserve">Como sistema, quiero suprimir grupos pequenos, para que nadie sea identificable.</t>
  </si>
  <si>
    <t xml:space="preserve">Con menos de k respuestas el sistema responde grupo insuficiente.</t>
  </si>
  <si>
    <t xml:space="preserve">HU-14</t>
  </si>
  <si>
    <t xml:space="preserve">Como sistema, quiero aplicar privacidad diferencial, para acotar lo que se aprende de una persona.</t>
  </si>
  <si>
    <t xml:space="preserve">El valor publicado lleva ruido de Laplace calibrado por sensibilidad y epsilon.</t>
  </si>
  <si>
    <t xml:space="preserve">S4</t>
  </si>
  <si>
    <t xml:space="preserve">HU-15</t>
  </si>
  <si>
    <t xml:space="preserve">Como sistema, quiero controlar un presupuesto de privacidad, para limitar consultas repetidas.</t>
  </si>
  <si>
    <t xml:space="preserve">Agotado el presupuesto se responde presupuesto agotado y no se publica.</t>
  </si>
  <si>
    <t xml:space="preserve">HU-16</t>
  </si>
  <si>
    <t xml:space="preserve">M08 Reglas de riesgo</t>
  </si>
  <si>
    <t xml:space="preserve">Como especialista, quiero que el sistema detecte condiciones de riesgo, para actuar a tiempo.</t>
  </si>
  <si>
    <t xml:space="preserve">Cada deteccion guarda la regla que la origino y su explicacion legible.</t>
  </si>
  <si>
    <t xml:space="preserve">HU-17</t>
  </si>
  <si>
    <t xml:space="preserve">M12 Auditoria</t>
  </si>
  <si>
    <t xml:space="preserve">Como sistema, quiero registrar cada acceso sensible, para dejar trazabilidad.</t>
  </si>
  <si>
    <t xml:space="preserve">Toda consulta de agregado o consentimiento genera un registro.</t>
  </si>
  <si>
    <t xml:space="preserve">HU-18</t>
  </si>
  <si>
    <t xml:space="preserve">M09 Intervenciones</t>
  </si>
  <si>
    <t xml:space="preserve">Como especialista, quiero registrar un plan de intervencion organizacional, para corregir el entorno.</t>
  </si>
  <si>
    <t xml:space="preserve">El plan se asocia a una unidad y nunca a una persona.</t>
  </si>
  <si>
    <t xml:space="preserve">En curso</t>
  </si>
  <si>
    <t xml:space="preserve">HU-19</t>
  </si>
  <si>
    <t xml:space="preserve">M02 Consentimiento</t>
  </si>
  <si>
    <t xml:space="preserve">Como colaborador, quiero leer el aviso antes de consentir, para saber que acepto.</t>
  </si>
  <si>
    <t xml:space="preserve">La pantalla explica los once puntos exigidos antes de permitir aceptar.</t>
  </si>
  <si>
    <t xml:space="preserve">S5</t>
  </si>
  <si>
    <t xml:space="preserve">HU-20</t>
  </si>
  <si>
    <t xml:space="preserve">Como colaborador, quiero otorgar y revocar mi consentimiento, para controlar mi participacion.</t>
  </si>
  <si>
    <t xml:space="preserve">Revocar agrega un evento al historial y no elimina los registros previos.</t>
  </si>
  <si>
    <t xml:space="preserve">HU-21</t>
  </si>
  <si>
    <t xml:space="preserve">Como colaborador, quiero responder el instrumento, para reportar como me encuentro.</t>
  </si>
  <si>
    <t xml:space="preserve">Sin consentimiento vigente el formulario no se muestra.</t>
  </si>
  <si>
    <t xml:space="preserve">HU-22</t>
  </si>
  <si>
    <t xml:space="preserve">M07 Tendencias</t>
  </si>
  <si>
    <t xml:space="preserve">Como lider, quiero ver la evolucion de mi unidad, para saber si mejora o empeora.</t>
  </si>
  <si>
    <t xml:space="preserve">La grafica longitudinal indica si la variacion supera la escala del ruido.</t>
  </si>
  <si>
    <t xml:space="preserve">HU-23</t>
  </si>
  <si>
    <t xml:space="preserve">M11 Transparencia</t>
  </si>
  <si>
    <t xml:space="preserve">Como colaborador, quiero saber como se protegen mis datos, para decidir con informacion.</t>
  </si>
  <si>
    <t xml:space="preserve">La seccion publica las doce explicaciones en lenguaje comprensible.</t>
  </si>
  <si>
    <t xml:space="preserve">HU-24</t>
  </si>
  <si>
    <t xml:space="preserve">Como auditor, quiero consultar la bitacora con filtros, para verificar cumplimiento.</t>
  </si>
  <si>
    <t xml:space="preserve">Se filtra por fecha, actor y accion, sin exponer contenido de respuestas.</t>
  </si>
  <si>
    <t xml:space="preserve">HU-25</t>
  </si>
  <si>
    <t xml:space="preserve">E2 Infraestructura</t>
  </si>
  <si>
    <t xml:space="preserve">Como equipo, quiero un monorepo con ramas definidas, para trabajar sin bloquearnos.</t>
  </si>
  <si>
    <t xml:space="preserve">El repositorio sigue la estructura monorepo vista en clase.</t>
  </si>
  <si>
    <t xml:space="preserve">Pendiente</t>
  </si>
  <si>
    <t xml:space="preserve">HU-26</t>
  </si>
  <si>
    <t xml:space="preserve">Como auditor, quiero verificar evidencia de consentimiento, para acreditar cumplimiento.</t>
  </si>
  <si>
    <t xml:space="preserve">Se consulta la evidencia sin acceder al contenido de las respuestas.</t>
  </si>
  <si>
    <t xml:space="preserve">S6</t>
  </si>
  <si>
    <t xml:space="preserve">HU-27</t>
  </si>
  <si>
    <t xml:space="preserve">Como especialista, quiero dar seguimiento a la intervencion, para conocer su avance.</t>
  </si>
  <si>
    <t xml:space="preserve">Cada cambio de estado queda registrado con fecha y responsable.</t>
  </si>
  <si>
    <t xml:space="preserve">HU-28</t>
  </si>
  <si>
    <t xml:space="preserve">M10 Evaluacion</t>
  </si>
  <si>
    <t xml:space="preserve">Como especialista, quiero comparar antes y despues, para evaluar si la intervencion funciono.</t>
  </si>
  <si>
    <t xml:space="preserve">La comparacion declara si la variacion es interpretable o queda dentro del ruido.</t>
  </si>
  <si>
    <t xml:space="preserve">HU-29</t>
  </si>
  <si>
    <t xml:space="preserve">Como colaborador, quiero ver quien consulto informacion relacionada conmigo, para verificar la transparencia.</t>
  </si>
  <si>
    <t xml:space="preserve">La vista muestra los accesos registrados en bitacora.</t>
  </si>
  <si>
    <t xml:space="preserve">HU-30</t>
  </si>
  <si>
    <t xml:space="preserve">Como sistema, quiero revocar tokens mediante Redis, para que un cierre de sesion invalide el acceso.</t>
  </si>
  <si>
    <t xml:space="preserve">El token revocado se rechaza en la siguiente peticion protegida.</t>
  </si>
  <si>
    <t xml:space="preserve">HU-31</t>
  </si>
  <si>
    <t xml:space="preserve">Como equipo, quiero ambientes developer, staging y production, para demostrar el despliegue.</t>
  </si>
  <si>
    <t xml:space="preserve">El sistema se ejecuta en los tres ambientes.</t>
  </si>
  <si>
    <t xml:space="preserve">HU-32</t>
  </si>
  <si>
    <t xml:space="preserve">M13 Microservicios</t>
  </si>
  <si>
    <t xml:space="preserve">Como sistema, quiero microservicios REST independientes, para desacoplar el backend.</t>
  </si>
  <si>
    <t xml:space="preserve">Cada servicio corre en su contenedor y se despliega por separado.</t>
  </si>
  <si>
    <t xml:space="preserve">S7</t>
  </si>
  <si>
    <t xml:space="preserve">HU-33</t>
  </si>
  <si>
    <t xml:space="preserve">Como cliente, quiero respuestas en JSON y en XML, para consumir desde movil y escritorio.</t>
  </si>
  <si>
    <t xml:space="preserve">El mismo recurso responde en ambos formatos segun el encabezado.</t>
  </si>
  <si>
    <t xml:space="preserve">HU-34</t>
  </si>
  <si>
    <t xml:space="preserve">M14 Aplicacion movil</t>
  </si>
  <si>
    <t xml:space="preserve">Como colaborador, quiero responder desde mi telefono, para participar sin computadora.</t>
  </si>
  <si>
    <t xml:space="preserve">La aplicacion consume exclusivamente JSON y maneja JWT.</t>
  </si>
  <si>
    <t xml:space="preserve">HU-35</t>
  </si>
  <si>
    <t xml:space="preserve">M15 Aplicacion de escritorio</t>
  </si>
  <si>
    <t xml:space="preserve">Como especialista, quiero una aplicacion de escritorio, para el trabajo administrativo intensivo.</t>
  </si>
  <si>
    <t xml:space="preserve">La aplicacion consume exclusivamente XML y valida el esquema.</t>
  </si>
  <si>
    <t xml:space="preserve">S8</t>
  </si>
  <si>
    <t xml:space="preserve">HU-36</t>
  </si>
  <si>
    <t xml:space="preserve">M16 Nube y escalabilidad</t>
  </si>
  <si>
    <t xml:space="preserve">Como equipo, quiero desplegar en Google Cloud con monitoreo, para demostrar operacion real.</t>
  </si>
  <si>
    <t xml:space="preserve">Existen endpoints de salud y evidencia de operacion en la nube.</t>
  </si>
  <si>
    <t xml:space="preserve">HU-37</t>
  </si>
  <si>
    <t xml:space="preserve">Como equipo, quiero pruebas de carga con Locust, para conocer el comportamiento bajo demanda.</t>
  </si>
  <si>
    <t xml:space="preserve">La prueba simula varios perfiles y no un solo endpoint repetido.</t>
  </si>
  <si>
    <t xml:space="preserve">Resumen del backlog</t>
  </si>
  <si>
    <t xml:space="preserve">Historias</t>
  </si>
  <si>
    <t xml:space="preserve">Total</t>
  </si>
  <si>
    <t xml:space="preserve">Plan de sprints del semestre</t>
  </si>
  <si>
    <t xml:space="preserve">Sprints de dos semanas. Los puntos se calculan desde la hoja Backlog.</t>
  </si>
  <si>
    <t xml:space="preserve">Etapa del curso</t>
  </si>
  <si>
    <t xml:space="preserve">Objetivo del sprint</t>
  </si>
  <si>
    <t xml:space="preserve">Puntos comprometidos</t>
  </si>
  <si>
    <t xml:space="preserve">Puntos terminados</t>
  </si>
  <si>
    <t xml:space="preserve">Avance</t>
  </si>
  <si>
    <t xml:space="preserve">11 — 24 ago 2026</t>
  </si>
  <si>
    <t xml:space="preserve">Primer parcial</t>
  </si>
  <si>
    <t xml:space="preserve">Analisis del problema, alcance, actores y matriz de permisos.</t>
  </si>
  <si>
    <t xml:space="preserve">Cerrado</t>
  </si>
  <si>
    <t xml:space="preserve">25 ago — 7 sep 2026</t>
  </si>
  <si>
    <t xml:space="preserve">Arquitectura, diseno de datos y prototipos de interfaz.</t>
  </si>
  <si>
    <t xml:space="preserve">8 — 21 sep 2026</t>
  </si>
  <si>
    <t xml:space="preserve">Primera version del sistema web y entrega del primer avance.</t>
  </si>
  <si>
    <t xml:space="preserve">29 sep — 12 oct 2026</t>
  </si>
  <si>
    <t xml:space="preserve">Primer parcial (correccion)</t>
  </si>
  <si>
    <t xml:space="preserve">Privacidad diferencial, ciclo completo de negocio y correccion de la retroalimentacion.</t>
  </si>
  <si>
    <t xml:space="preserve">13 — 26 oct 2026</t>
  </si>
  <si>
    <t xml:space="preserve">Segundo parcial</t>
  </si>
  <si>
    <t xml:space="preserve">Microservicios REST con respuestas JSON y XML, Swagger y ambientes de despliegue.</t>
  </si>
  <si>
    <t xml:space="preserve">Planeado</t>
  </si>
  <si>
    <t xml:space="preserve">27 oct — 9 nov 2026</t>
  </si>
  <si>
    <t xml:space="preserve">Aplicacion Android y aplicacion de escritorio.</t>
  </si>
  <si>
    <t xml:space="preserve">10 — 23 nov 2026</t>
  </si>
  <si>
    <t xml:space="preserve">Tercer parcial</t>
  </si>
  <si>
    <t xml:space="preserve">Nube, escalabilidad, monitoreo y pruebas de carga con Locust.</t>
  </si>
  <si>
    <t xml:space="preserve">24 nov — 7 dic 2026</t>
  </si>
  <si>
    <t xml:space="preserve">Entrega final</t>
  </si>
  <si>
    <t xml:space="preserve">Estabilizacion, documentacion final y presentacion integral.</t>
  </si>
  <si>
    <t xml:space="preserve">Las fechas son las planeadas por el equipo y se ajustan al calendario academico. Las columnas de puntos y avance se recalculan solas desde la hoja Backlog: no se capturan a mano.</t>
  </si>
  <si>
    <t xml:space="preserve">Sprint Backlog — S4 (29 sep — 12 oct 2026)</t>
  </si>
  <si>
    <t xml:space="preserve">Objetivo: cerrar la retroalimentacion del primer avance, implementar privacidad diferencial real y atender los criterios de rubrica sin trabajo previo.</t>
  </si>
  <si>
    <t xml:space="preserve">Tarea</t>
  </si>
  <si>
    <t xml:space="preserve">Historia</t>
  </si>
  <si>
    <t xml:space="preserve">Responsable</t>
  </si>
  <si>
    <t xml:space="preserve">Estimacion (h)</t>
  </si>
  <si>
    <t xml:space="preserve">Horas reales</t>
  </si>
  <si>
    <t xml:space="preserve">Nota</t>
  </si>
  <si>
    <t xml:space="preserve">Implementar el mecanismo de Laplace con sensibilidad y clipping</t>
  </si>
  <si>
    <t xml:space="preserve">Gerardo Quiroga</t>
  </si>
  <si>
    <t xml:space="preserve">Verificado ejecutando la base de datos.</t>
  </si>
  <si>
    <t xml:space="preserve">Justificar epsilon con el criterio de utilidad n por epsilon</t>
  </si>
  <si>
    <t xml:space="preserve">Con epsilon 0.2 el ruido superaba al dato.</t>
  </si>
  <si>
    <t xml:space="preserve">Implementar presupuesto de privacidad y composicion secuencial</t>
  </si>
  <si>
    <t xml:space="preserve">Agotado el presupuesto deja de publicar.</t>
  </si>
  <si>
    <t xml:space="preserve">Declarar la precision de cada resultado publicado</t>
  </si>
  <si>
    <t xml:space="preserve">Precision suficiente, limitada o ruido dominante.</t>
  </si>
  <si>
    <t xml:space="preserve">Modelar el motor de reglas de riesgo con explicacion legible</t>
  </si>
  <si>
    <t xml:space="preserve">Cada deteccion guarda por que se disparo.</t>
  </si>
  <si>
    <t xml:space="preserve">Modelar la bitacora y las garantias estructurales verificables</t>
  </si>
  <si>
    <t xml:space="preserve">Ricardo Sanchez</t>
  </si>
  <si>
    <t xml:space="preserve">Seis garantias comprobables por consulta.</t>
  </si>
  <si>
    <t xml:space="preserve">Formalizar matriz de minimizacion y fuentes autorizadas</t>
  </si>
  <si>
    <t xml:space="preserve">Emiliano Pinales</t>
  </si>
  <si>
    <t xml:space="preserve">Trece datos, cinco fuentes prohibidas.</t>
  </si>
  <si>
    <t xml:space="preserve">Modelar intervenciones organizacionales y su evaluacion</t>
  </si>
  <si>
    <t xml:space="preserve">Sin columna de persona objetivo.</t>
  </si>
  <si>
    <t xml:space="preserve">Reestructurar el repositorio como monorepo</t>
  </si>
  <si>
    <t xml:space="preserve">Juan Pablo Ramos</t>
  </si>
  <si>
    <t xml:space="preserve">Estructura vista en clase. Impedimento IMP-02.</t>
  </si>
  <si>
    <t xml:space="preserve">Redactar el documento de arquitectura de hardware</t>
  </si>
  <si>
    <t xml:space="preserve">Criterio de rubrica de diez puntos sin trabajo previo.</t>
  </si>
  <si>
    <t xml:space="preserve">Redactar performance, escalabilidad y confiabilidad</t>
  </si>
  <si>
    <t xml:space="preserve">Criterio de rubrica de veinte puntos sin trabajo previo.</t>
  </si>
  <si>
    <t xml:space="preserve">Rehacer el documento de roles y SCRUM</t>
  </si>
  <si>
    <t xml:space="preserve">Impedimento IMP-04 cerrado con este archivo.</t>
  </si>
  <si>
    <t xml:space="preserve">Integrar el reporte tecnico de treinta y ocho secciones</t>
  </si>
  <si>
    <t xml:space="preserve">Los documentos actuales pasan a anexos.</t>
  </si>
  <si>
    <t xml:space="preserve">Empaquetar y verificar Avance1_equipo03.zip</t>
  </si>
  <si>
    <t xml:space="preserve">Cada integrante entrega el suyo en Blackboard.</t>
  </si>
  <si>
    <t xml:space="preserve">Total de horas</t>
  </si>
  <si>
    <t xml:space="preserve">Las tareas de interfaz del ciclo de negocio (pantalla de consentimiento, autoreporte, tendencias y tableros) corresponden al sprint S5 y por eso no aparecen aqui. Las pendientes de este sprint son los criterios de rubrica con mayor peso que aun no tienen trabajo hecho.</t>
  </si>
  <si>
    <t xml:space="preserve">Matriz RACI de entregables</t>
  </si>
  <si>
    <t xml:space="preserve">R responsable de ejecutar · A rinde cuentas · C consultado · I informado. Cada entregable tiene una sola A.</t>
  </si>
  <si>
    <t xml:space="preserve">Entregable</t>
  </si>
  <si>
    <t xml:space="preserve">Juan Pablo
(Arq./DevOps)</t>
  </si>
  <si>
    <t xml:space="preserve">Ricardo
(Web/PostgreSQL)</t>
  </si>
  <si>
    <t xml:space="preserve">Gerardo
(Micro/NoSQL)</t>
  </si>
  <si>
    <t xml:space="preserve">Emiliano
(Clientes)</t>
  </si>
  <si>
    <t xml:space="preserve">Documento de analisis del problema</t>
  </si>
  <si>
    <t xml:space="preserve">C</t>
  </si>
  <si>
    <t xml:space="preserve">A/R</t>
  </si>
  <si>
    <t xml:space="preserve">Requerimientos, historias de usuario y reglas de negocio</t>
  </si>
  <si>
    <t xml:space="preserve">R</t>
  </si>
  <si>
    <t xml:space="preserve">A</t>
  </si>
  <si>
    <t xml:space="preserve">Matriz de perfiles y permisos</t>
  </si>
  <si>
    <t xml:space="preserve">I</t>
  </si>
  <si>
    <t xml:space="preserve">Diagramas de arquitectura de software</t>
  </si>
  <si>
    <t xml:space="preserve">Arquitectura de hardware</t>
  </si>
  <si>
    <t xml:space="preserve">Performance, escalabilidad y confiabilidad</t>
  </si>
  <si>
    <t xml:space="preserve">Modelo de PostgreSQL</t>
  </si>
  <si>
    <t xml:space="preserve">Mecanismo de privacidad diferencial</t>
  </si>
  <si>
    <t xml:space="preserve">Analisis de MongoDB y Redis</t>
  </si>
  <si>
    <t xml:space="preserve">Sistema web minimo funcional</t>
  </si>
  <si>
    <t xml:space="preserve">Pantalla de consentimiento y transparencia</t>
  </si>
  <si>
    <t xml:space="preserve">Prototipos y wireframes</t>
  </si>
  <si>
    <t xml:space="preserve">Monorepo, ramas e integracion continua</t>
  </si>
  <si>
    <t xml:space="preserve">Contenedores y ambientes dev/staging/prod</t>
  </si>
  <si>
    <t xml:space="preserve">Estrategia de seguridad</t>
  </si>
  <si>
    <t xml:space="preserve">Plan de pruebas</t>
  </si>
  <si>
    <t xml:space="preserve">Reporte tecnico integrado</t>
  </si>
  <si>
    <t xml:space="preserve">Demostracion tecnica</t>
  </si>
  <si>
    <t xml:space="preserve">La demostracion tecnica la ejecutan los cuatro integrantes: cada quien presenta la parte de su rol. Esto responde al criterio de que ningun integrante desarrolle un componente aislado.</t>
  </si>
  <si>
    <t xml:space="preserve">Una historia solo se considera terminada cuando cumple todos los criterios aplicables.</t>
  </si>
  <si>
    <t xml:space="preserve">#</t>
  </si>
  <si>
    <t xml:space="preserve">Criterio</t>
  </si>
  <si>
    <t xml:space="preserve">Aplica a</t>
  </si>
  <si>
    <t xml:space="preserve">Como se verifica</t>
  </si>
  <si>
    <t xml:space="preserve">El codigo esta en la rama main del monorepo y la integracion continua pasa.</t>
  </si>
  <si>
    <t xml:space="preserve">Toda historia</t>
  </si>
  <si>
    <t xml:space="preserve">Revision del pipeline en el repositorio.</t>
  </si>
  <si>
    <t xml:space="preserve">La funcionalidad guarda y consulta informacion real, no datos simulados.</t>
  </si>
  <si>
    <t xml:space="preserve">Historias de negocio</t>
  </si>
  <si>
    <t xml:space="preserve">Se ejecuta la operacion y se consulta la base de datos.</t>
  </si>
  <si>
    <t xml:space="preserve">Se cumplen los criterios de aceptacion escritos en el backlog.</t>
  </si>
  <si>
    <t xml:space="preserve">El Product Owner los verifica en la Sprint Review.</t>
  </si>
  <si>
    <t xml:space="preserve">Ninguna vista expone datos individuales a un perfil sin autorizacion.</t>
  </si>
  <si>
    <t xml:space="preserve">Historias con datos de personas</t>
  </si>
  <si>
    <t xml:space="preserve">Se revisa la matriz de permisos y se prueba con cada perfil.</t>
  </si>
  <si>
    <t xml:space="preserve">Todo resultado agregado respeta el umbral k y lleva privacidad diferencial.</t>
  </si>
  <si>
    <t xml:space="preserve">Historias de agregacion</t>
  </si>
  <si>
    <t xml:space="preserve">Se ejecuta la funcion de verificacion de garantias.</t>
  </si>
  <si>
    <t xml:space="preserve">La accion queda registrada en la bitacora de auditoria.</t>
  </si>
  <si>
    <t xml:space="preserve">Historias con acceso a datos</t>
  </si>
  <si>
    <t xml:space="preserve">Se consulta la bitacora despues de la operacion.</t>
  </si>
  <si>
    <t xml:space="preserve">Existe al menos una prueba que cubre el camino principal.</t>
  </si>
  <si>
    <t xml:space="preserve">Se ejecuta la suite de pruebas.</t>
  </si>
  <si>
    <t xml:space="preserve">Otro integrante distinto del autor reviso el cambio.</t>
  </si>
  <si>
    <t xml:space="preserve">Revision registrada en el repositorio.</t>
  </si>
  <si>
    <t xml:space="preserve">La documentacion afectada esta actualizada en el mismo sprint.</t>
  </si>
  <si>
    <t xml:space="preserve">Revision del reporte tecnico y sus anexos.</t>
  </si>
  <si>
    <t xml:space="preserve">La funcionalidad se ejecuta desde contenedores.</t>
  </si>
  <si>
    <t xml:space="preserve">Historias de infraestructura</t>
  </si>
  <si>
    <t xml:space="preserve">Se levanta el entorno y se prueba.</t>
  </si>
  <si>
    <t xml:space="preserve">Registro de impedimentos y acuerdos de mejora</t>
  </si>
  <si>
    <t xml:space="preserve">Alimentado en los Daily Scrum y en las retrospectivas. Lo mantiene el Scrum Master.</t>
  </si>
  <si>
    <t xml:space="preserve">Origen</t>
  </si>
  <si>
    <t xml:space="preserve">Impedimento o hallazgo</t>
  </si>
  <si>
    <t xml:space="preserve">Accion acordada</t>
  </si>
  <si>
    <t xml:space="preserve">IMP-01</t>
  </si>
  <si>
    <t xml:space="preserve">2026-09-22</t>
  </si>
  <si>
    <t xml:space="preserve">Retroalimentacion</t>
  </si>
  <si>
    <t xml:space="preserve">La entrega no identificaba el numero de equipo ni el proyecto asignado.</t>
  </si>
  <si>
    <t xml:space="preserve">Incluir equipo y proyecto en la portada de todo documento y en el nombre del archivo.</t>
  </si>
  <si>
    <t xml:space="preserve">IMP-02</t>
  </si>
  <si>
    <t xml:space="preserve">El repositorio no aplica la estructura monorepo vista en clase.</t>
  </si>
  <si>
    <t xml:space="preserve">Reestructurar el repositorio antes del cierre del sprint S4.</t>
  </si>
  <si>
    <t xml:space="preserve">Abierto</t>
  </si>
  <si>
    <t xml:space="preserve">IMP-03</t>
  </si>
  <si>
    <t xml:space="preserve">Los documentos generados con apoyo de IA se entregaron sin evidencia de revision.</t>
  </si>
  <si>
    <t xml:space="preserve">Agregar control de versiones con revisor por documento y revisar cada entregable en pareja.</t>
  </si>
  <si>
    <t xml:space="preserve">IMP-04</t>
  </si>
  <si>
    <t xml:space="preserve">El documento de roles y SCRUM tenia estructura deficiente y contenido incoherente.</t>
  </si>
  <si>
    <t xml:space="preserve">Rehacer el documento alineando backlog, sprints y roles a los modulos del sistema.</t>
  </si>
  <si>
    <t xml:space="preserve">IMP-05</t>
  </si>
  <si>
    <t xml:space="preserve">Se invirtio esfuerzo en MongoDB, contenedores y pruebas antes de cerrar el negocio.</t>
  </si>
  <si>
    <t xml:space="preserve">Reenfocar el sprint al ciclo de negocio y dejar esos temas como analisis.</t>
  </si>
  <si>
    <t xml:space="preserve">IMP-06</t>
  </si>
  <si>
    <t xml:space="preserve">La privacidad diferencial no estaba implementada: solo habia umbral k.</t>
  </si>
  <si>
    <t xml:space="preserve">Implementar mecanismo de Laplace con sensibilidad, clipping y presupuesto epsilon.</t>
  </si>
  <si>
    <t xml:space="preserve">IMP-07</t>
  </si>
  <si>
    <t xml:space="preserve">Retrospectiva</t>
  </si>
  <si>
    <t xml:space="preserve">Con epsilon igual a 0.2 y grupos de ocho personas el ruido supera al dato.</t>
  </si>
  <si>
    <t xml:space="preserve">Justificar epsilon con el criterio de utilidad y declarar la precision de cada resultado.</t>
  </si>
  <si>
    <t xml:space="preserve">IMP-08</t>
  </si>
  <si>
    <t xml:space="preserve">Revision de rubrica</t>
  </si>
  <si>
    <t xml:space="preserve">Los criterios de arquitectura de hardware y de performance no tienen trabajo hecho.</t>
  </si>
  <si>
    <t xml:space="preserve">Redactar ambos documentos dentro del sprint S4.</t>
  </si>
  <si>
    <t xml:space="preserve">IMP-09</t>
  </si>
  <si>
    <t xml:space="preserve">La rubrica exige ejecucion en developer, staging y production.</t>
  </si>
  <si>
    <t xml:space="preserve">Definir los tres ambientes y documentar el procedimiento de despliegue.</t>
  </si>
  <si>
    <t xml:space="preserve">IMP-10</t>
  </si>
  <si>
    <t xml:space="preserve">El presupuesto de privacidad es por campania y unidad, no por consultante.</t>
  </si>
  <si>
    <t xml:space="preserve">Evaluar presupuesto por consultante en el segundo parcial y declararlo como pendiente.</t>
  </si>
  <si>
    <t xml:space="preserve">Cada impedimento cerrado tiene evidencia verificable en el repositorio o en los entregables de este avance.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</si>
</sst>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44"/>
    <col collapsed="false" customWidth="true" hidden="false" outlineLevel="0" max="5" min="5" style="0" width="26"/>
  </cols>
  <sheetData>
    <row r="2" customFormat="false" ht="21.75" hidden="false" customHeight="true" outlineLevel="0" collapsed="false">
      <c r="A2" s="1" t="s">
        <v>0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</row>
    <row r="5" customFormat="false" ht="30" hidden="false" customHeight="true" outlineLevel="0" collapsed="false">
      <c r="A5" s="3" t="s">
        <v>2</v>
      </c>
      <c r="B5" s="3" t="s">
        <v>3</v>
      </c>
      <c r="C5" s="3"/>
      <c r="D5" s="3"/>
      <c r="E5" s="3"/>
    </row>
    <row r="6" customFormat="false" ht="15" hidden="false" customHeight="true" outlineLevel="0" collapsed="false">
      <c r="A6" s="4" t="s">
        <v>4</v>
      </c>
      <c r="B6" s="4" t="s">
        <v>5</v>
      </c>
      <c r="C6" s="4"/>
      <c r="D6" s="4"/>
      <c r="E6" s="4"/>
    </row>
    <row r="7" customFormat="false" ht="15" hidden="false" customHeight="true" outlineLevel="0" collapsed="false">
      <c r="A7" s="5" t="s">
        <v>6</v>
      </c>
      <c r="B7" s="5" t="s">
        <v>1</v>
      </c>
      <c r="C7" s="5"/>
      <c r="D7" s="5"/>
      <c r="E7" s="5"/>
    </row>
    <row r="8" customFormat="false" ht="15" hidden="false" customHeight="true" outlineLevel="0" collapsed="false">
      <c r="A8" s="4" t="s">
        <v>7</v>
      </c>
      <c r="B8" s="4" t="s">
        <v>8</v>
      </c>
      <c r="C8" s="4"/>
      <c r="D8" s="4"/>
      <c r="E8" s="4"/>
    </row>
    <row r="9" customFormat="false" ht="15" hidden="false" customHeight="true" outlineLevel="0" collapsed="false">
      <c r="A9" s="5" t="s">
        <v>9</v>
      </c>
      <c r="B9" s="5" t="s">
        <v>10</v>
      </c>
      <c r="C9" s="5"/>
      <c r="D9" s="5"/>
      <c r="E9" s="5"/>
    </row>
    <row r="10" customFormat="false" ht="15" hidden="false" customHeight="true" outlineLevel="0" collapsed="false">
      <c r="A10" s="4" t="s">
        <v>11</v>
      </c>
      <c r="B10" s="4" t="s">
        <v>12</v>
      </c>
      <c r="C10" s="4"/>
      <c r="D10" s="4"/>
      <c r="E10" s="4"/>
    </row>
    <row r="11" customFormat="false" ht="15" hidden="false" customHeight="true" outlineLevel="0" collapsed="false">
      <c r="A11" s="5" t="s">
        <v>13</v>
      </c>
      <c r="B11" s="5" t="s">
        <v>14</v>
      </c>
      <c r="C11" s="5"/>
      <c r="D11" s="5"/>
      <c r="E11" s="5"/>
    </row>
    <row r="13" customFormat="false" ht="30" hidden="false" customHeight="true" outlineLevel="0" collapsed="false">
      <c r="A13" s="3" t="s">
        <v>15</v>
      </c>
      <c r="B13" s="3" t="s">
        <v>16</v>
      </c>
      <c r="C13" s="3" t="s">
        <v>17</v>
      </c>
      <c r="D13" s="3" t="s">
        <v>18</v>
      </c>
      <c r="E13" s="3"/>
    </row>
    <row r="14" customFormat="false" ht="15" hidden="false" customHeight="true" outlineLevel="0" collapsed="false">
      <c r="A14" s="4" t="s">
        <v>19</v>
      </c>
      <c r="B14" s="6" t="s">
        <v>20</v>
      </c>
      <c r="C14" s="4" t="s">
        <v>21</v>
      </c>
      <c r="D14" s="4" t="s">
        <v>22</v>
      </c>
      <c r="E14" s="4"/>
    </row>
    <row r="15" customFormat="false" ht="23.85" hidden="false" customHeight="true" outlineLevel="0" collapsed="false">
      <c r="A15" s="5" t="s">
        <v>23</v>
      </c>
      <c r="B15" s="7" t="s">
        <v>24</v>
      </c>
      <c r="C15" s="5" t="s">
        <v>25</v>
      </c>
      <c r="D15" s="5" t="s">
        <v>26</v>
      </c>
      <c r="E15" s="5"/>
    </row>
    <row r="16" customFormat="false" ht="23.85" hidden="false" customHeight="true" outlineLevel="0" collapsed="false">
      <c r="A16" s="4" t="s">
        <v>27</v>
      </c>
      <c r="B16" s="6" t="s">
        <v>28</v>
      </c>
      <c r="C16" s="4" t="s">
        <v>29</v>
      </c>
      <c r="D16" s="4" t="s">
        <v>26</v>
      </c>
      <c r="E16" s="4"/>
    </row>
    <row r="17" customFormat="false" ht="15" hidden="false" customHeight="true" outlineLevel="0" collapsed="false">
      <c r="A17" s="5" t="s">
        <v>30</v>
      </c>
      <c r="B17" s="7" t="s">
        <v>31</v>
      </c>
      <c r="C17" s="5" t="s">
        <v>32</v>
      </c>
      <c r="D17" s="5" t="s">
        <v>33</v>
      </c>
      <c r="E17" s="5"/>
    </row>
    <row r="19" customFormat="false" ht="30" hidden="false" customHeight="true" outlineLevel="0" collapsed="false">
      <c r="A19" s="3" t="s">
        <v>34</v>
      </c>
      <c r="B19" s="3" t="s">
        <v>35</v>
      </c>
      <c r="C19" s="3" t="s">
        <v>36</v>
      </c>
      <c r="D19" s="3" t="s">
        <v>37</v>
      </c>
      <c r="E19" s="3" t="s">
        <v>38</v>
      </c>
    </row>
    <row r="20" customFormat="false" ht="15" hidden="false" customHeight="false" outlineLevel="0" collapsed="false">
      <c r="A20" s="6" t="s">
        <v>39</v>
      </c>
      <c r="B20" s="6" t="s">
        <v>40</v>
      </c>
      <c r="C20" s="4" t="s">
        <v>19</v>
      </c>
      <c r="D20" s="4" t="s">
        <v>41</v>
      </c>
      <c r="E20" s="4" t="s">
        <v>42</v>
      </c>
    </row>
    <row r="21" customFormat="false" ht="57.45" hidden="false" customHeight="false" outlineLevel="0" collapsed="false">
      <c r="A21" s="7" t="s">
        <v>43</v>
      </c>
      <c r="B21" s="7" t="s">
        <v>44</v>
      </c>
      <c r="C21" s="5" t="s">
        <v>45</v>
      </c>
      <c r="D21" s="5" t="s">
        <v>46</v>
      </c>
      <c r="E21" s="5" t="s">
        <v>47</v>
      </c>
    </row>
    <row r="23" customFormat="false" ht="30" hidden="false" customHeight="true" outlineLevel="0" collapsed="false">
      <c r="A23" s="8" t="s">
        <v>48</v>
      </c>
      <c r="B23" s="8"/>
      <c r="C23" s="8"/>
      <c r="D23" s="8"/>
      <c r="E23" s="8"/>
    </row>
  </sheetData>
  <mergeCells count="14">
    <mergeCell ref="A2:F2"/>
    <mergeCell ref="A3:F3"/>
    <mergeCell ref="B5:E5"/>
    <mergeCell ref="B6:E6"/>
    <mergeCell ref="B7:E7"/>
    <mergeCell ref="B8:E8"/>
    <mergeCell ref="B9:E9"/>
    <mergeCell ref="B10:E10"/>
    <mergeCell ref="B11:E11"/>
    <mergeCell ref="D14:E14"/>
    <mergeCell ref="D15:E15"/>
    <mergeCell ref="D16:E16"/>
    <mergeCell ref="D17:E17"/>
    <mergeCell ref="A23:E23"/>
  </mergeCells>
  <printOptions headings="false" gridLines="false" gridLinesSet="true" horizontalCentered="tru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Roles y SCRUM - Equipo 03 - Proyecto 4  |  Pagina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4" min="3" style="0" width="50"/>
  </cols>
  <sheetData>
    <row r="2" customFormat="false" ht="21.75" hidden="false" customHeight="true" outlineLevel="0" collapsed="false">
      <c r="A2" s="1" t="s">
        <v>49</v>
      </c>
      <c r="B2" s="1"/>
      <c r="C2" s="1"/>
      <c r="D2" s="1"/>
      <c r="E2" s="1"/>
    </row>
    <row r="3" customFormat="false" ht="15" hidden="false" customHeight="false" outlineLevel="0" collapsed="false">
      <c r="A3" s="2" t="s">
        <v>50</v>
      </c>
      <c r="B3" s="2"/>
      <c r="C3" s="2"/>
      <c r="D3" s="2"/>
      <c r="E3" s="2"/>
    </row>
    <row r="5" customFormat="false" ht="30" hidden="false" customHeight="true" outlineLevel="0" collapsed="false">
      <c r="A5" s="3" t="s">
        <v>15</v>
      </c>
      <c r="B5" s="3" t="s">
        <v>17</v>
      </c>
      <c r="C5" s="3" t="s">
        <v>51</v>
      </c>
      <c r="D5" s="3" t="s">
        <v>52</v>
      </c>
    </row>
    <row r="6" customFormat="false" ht="46.25" hidden="false" customHeight="false" outlineLevel="0" collapsed="false">
      <c r="A6" s="4" t="s">
        <v>19</v>
      </c>
      <c r="B6" s="4" t="s">
        <v>53</v>
      </c>
      <c r="C6" s="4" t="s">
        <v>54</v>
      </c>
      <c r="D6" s="4" t="s">
        <v>55</v>
      </c>
    </row>
    <row r="7" customFormat="false" ht="46.25" hidden="false" customHeight="false" outlineLevel="0" collapsed="false">
      <c r="A7" s="5" t="s">
        <v>23</v>
      </c>
      <c r="B7" s="5" t="s">
        <v>56</v>
      </c>
      <c r="C7" s="5" t="s">
        <v>57</v>
      </c>
      <c r="D7" s="5" t="s">
        <v>58</v>
      </c>
    </row>
    <row r="8" customFormat="false" ht="46.25" hidden="false" customHeight="false" outlineLevel="0" collapsed="false">
      <c r="A8" s="4" t="s">
        <v>27</v>
      </c>
      <c r="B8" s="4" t="s">
        <v>59</v>
      </c>
      <c r="C8" s="4" t="s">
        <v>60</v>
      </c>
      <c r="D8" s="4" t="s">
        <v>61</v>
      </c>
    </row>
    <row r="9" customFormat="false" ht="46.25" hidden="false" customHeight="false" outlineLevel="0" collapsed="false">
      <c r="A9" s="5" t="s">
        <v>30</v>
      </c>
      <c r="B9" s="5" t="s">
        <v>62</v>
      </c>
      <c r="C9" s="5" t="s">
        <v>63</v>
      </c>
      <c r="D9" s="5" t="s">
        <v>64</v>
      </c>
    </row>
    <row r="11" customFormat="false" ht="30" hidden="false" customHeight="true" outlineLevel="0" collapsed="false">
      <c r="A11" s="8" t="s">
        <v>65</v>
      </c>
      <c r="B11" s="8"/>
      <c r="C11" s="8"/>
      <c r="D11" s="8"/>
    </row>
  </sheetData>
  <mergeCells count="3">
    <mergeCell ref="A2:E2"/>
    <mergeCell ref="A3:E3"/>
    <mergeCell ref="A11:D11"/>
  </mergeCells>
  <printOptions headings="false" gridLines="false" gridLinesSet="true" horizontalCentered="tru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Roles y SCRUM - Equipo 03 - Proyecto 4  |  Pagina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46"/>
  </cols>
  <sheetData>
    <row r="2" customFormat="false" ht="21.75" hidden="false" customHeight="true" outlineLevel="0" collapsed="false">
      <c r="A2" s="1" t="s">
        <v>66</v>
      </c>
      <c r="B2" s="1"/>
      <c r="C2" s="1"/>
      <c r="D2" s="1"/>
      <c r="E2" s="1"/>
    </row>
    <row r="3" customFormat="false" ht="15" hidden="false" customHeight="false" outlineLevel="0" collapsed="false">
      <c r="A3" s="2" t="s">
        <v>67</v>
      </c>
      <c r="B3" s="2"/>
      <c r="C3" s="2"/>
      <c r="D3" s="2"/>
      <c r="E3" s="2"/>
    </row>
    <row r="5" customFormat="false" ht="30" hidden="false" customHeight="true" outlineLevel="0" collapsed="false">
      <c r="A5" s="3" t="s">
        <v>18</v>
      </c>
      <c r="B5" s="3" t="s">
        <v>68</v>
      </c>
      <c r="C5" s="3" t="s">
        <v>69</v>
      </c>
      <c r="D5" s="3"/>
      <c r="E5" s="3"/>
    </row>
    <row r="6" customFormat="false" ht="45.75" hidden="false" customHeight="true" outlineLevel="0" collapsed="false">
      <c r="A6" s="4" t="s">
        <v>33</v>
      </c>
      <c r="B6" s="4" t="s">
        <v>30</v>
      </c>
      <c r="C6" s="4" t="s">
        <v>70</v>
      </c>
      <c r="D6" s="4"/>
      <c r="E6" s="4"/>
    </row>
    <row r="7" customFormat="false" ht="45.75" hidden="false" customHeight="true" outlineLevel="0" collapsed="false">
      <c r="A7" s="5" t="s">
        <v>22</v>
      </c>
      <c r="B7" s="5" t="s">
        <v>19</v>
      </c>
      <c r="C7" s="5" t="s">
        <v>71</v>
      </c>
      <c r="D7" s="5"/>
      <c r="E7" s="5"/>
    </row>
    <row r="8" customFormat="false" ht="45.75" hidden="false" customHeight="true" outlineLevel="0" collapsed="false">
      <c r="A8" s="4" t="s">
        <v>26</v>
      </c>
      <c r="B8" s="4" t="s">
        <v>47</v>
      </c>
      <c r="C8" s="4" t="s">
        <v>72</v>
      </c>
      <c r="D8" s="4"/>
      <c r="E8" s="4"/>
    </row>
    <row r="10" customFormat="false" ht="30" hidden="false" customHeight="true" outlineLevel="0" collapsed="false">
      <c r="A10" s="3" t="s">
        <v>73</v>
      </c>
      <c r="B10" s="3" t="s">
        <v>74</v>
      </c>
      <c r="C10" s="3" t="s">
        <v>75</v>
      </c>
      <c r="D10" s="3" t="s">
        <v>76</v>
      </c>
      <c r="E10" s="3" t="s">
        <v>77</v>
      </c>
    </row>
    <row r="11" customFormat="false" ht="23.85" hidden="false" customHeight="false" outlineLevel="0" collapsed="false">
      <c r="A11" s="4" t="s">
        <v>78</v>
      </c>
      <c r="B11" s="4" t="s">
        <v>79</v>
      </c>
      <c r="C11" s="6" t="s">
        <v>80</v>
      </c>
      <c r="D11" s="4" t="s">
        <v>81</v>
      </c>
      <c r="E11" s="4" t="s">
        <v>82</v>
      </c>
    </row>
    <row r="12" customFormat="false" ht="15" hidden="false" customHeight="false" outlineLevel="0" collapsed="false">
      <c r="A12" s="5" t="s">
        <v>83</v>
      </c>
      <c r="B12" s="5" t="s">
        <v>84</v>
      </c>
      <c r="C12" s="7" t="s">
        <v>85</v>
      </c>
      <c r="D12" s="5" t="s">
        <v>26</v>
      </c>
      <c r="E12" s="5" t="s">
        <v>86</v>
      </c>
    </row>
    <row r="13" customFormat="false" ht="23.85" hidden="false" customHeight="false" outlineLevel="0" collapsed="false">
      <c r="A13" s="4" t="s">
        <v>87</v>
      </c>
      <c r="B13" s="4" t="s">
        <v>88</v>
      </c>
      <c r="C13" s="6" t="s">
        <v>89</v>
      </c>
      <c r="D13" s="4" t="s">
        <v>81</v>
      </c>
      <c r="E13" s="4" t="s">
        <v>90</v>
      </c>
    </row>
    <row r="14" customFormat="false" ht="23.85" hidden="false" customHeight="false" outlineLevel="0" collapsed="false">
      <c r="A14" s="5" t="s">
        <v>91</v>
      </c>
      <c r="B14" s="5" t="s">
        <v>88</v>
      </c>
      <c r="C14" s="7" t="s">
        <v>92</v>
      </c>
      <c r="D14" s="5" t="s">
        <v>81</v>
      </c>
      <c r="E14" s="5" t="s">
        <v>93</v>
      </c>
    </row>
    <row r="15" customFormat="false" ht="15" hidden="false" customHeight="false" outlineLevel="0" collapsed="false">
      <c r="A15" s="4" t="s">
        <v>94</v>
      </c>
      <c r="B15" s="4" t="s">
        <v>95</v>
      </c>
      <c r="C15" s="6" t="s">
        <v>92</v>
      </c>
      <c r="D15" s="4" t="s">
        <v>81</v>
      </c>
      <c r="E15" s="4" t="s">
        <v>96</v>
      </c>
    </row>
    <row r="17" customFormat="false" ht="30" hidden="false" customHeight="true" outlineLevel="0" collapsed="false">
      <c r="A17" s="3" t="s">
        <v>97</v>
      </c>
      <c r="B17" s="3" t="s">
        <v>98</v>
      </c>
      <c r="C17" s="3" t="s">
        <v>99</v>
      </c>
      <c r="D17" s="3" t="s">
        <v>100</v>
      </c>
      <c r="E17" s="3"/>
    </row>
    <row r="18" customFormat="false" ht="15" hidden="false" customHeight="false" outlineLevel="0" collapsed="false">
      <c r="A18" s="4" t="s">
        <v>101</v>
      </c>
      <c r="B18" s="4" t="s">
        <v>102</v>
      </c>
      <c r="C18" s="4" t="s">
        <v>33</v>
      </c>
      <c r="D18" s="4" t="s">
        <v>103</v>
      </c>
    </row>
    <row r="19" customFormat="false" ht="15" hidden="false" customHeight="false" outlineLevel="0" collapsed="false">
      <c r="A19" s="5" t="s">
        <v>104</v>
      </c>
      <c r="B19" s="5" t="s">
        <v>105</v>
      </c>
      <c r="C19" s="5" t="s">
        <v>26</v>
      </c>
      <c r="D19" s="5" t="s">
        <v>106</v>
      </c>
    </row>
    <row r="20" customFormat="false" ht="15" hidden="false" customHeight="false" outlineLevel="0" collapsed="false">
      <c r="A20" s="4" t="s">
        <v>107</v>
      </c>
      <c r="B20" s="4" t="s">
        <v>108</v>
      </c>
      <c r="C20" s="4" t="s">
        <v>26</v>
      </c>
      <c r="D20" s="4" t="s">
        <v>109</v>
      </c>
    </row>
    <row r="21" customFormat="false" ht="15" hidden="false" customHeight="false" outlineLevel="0" collapsed="false">
      <c r="A21" s="5" t="s">
        <v>110</v>
      </c>
      <c r="B21" s="5" t="s">
        <v>111</v>
      </c>
      <c r="C21" s="5" t="s">
        <v>81</v>
      </c>
      <c r="D21" s="5" t="s">
        <v>112</v>
      </c>
    </row>
    <row r="22" customFormat="false" ht="15" hidden="false" customHeight="false" outlineLevel="0" collapsed="false">
      <c r="A22" s="4" t="s">
        <v>113</v>
      </c>
      <c r="B22" s="4" t="s">
        <v>114</v>
      </c>
      <c r="C22" s="4" t="s">
        <v>22</v>
      </c>
      <c r="D22" s="4" t="s">
        <v>103</v>
      </c>
    </row>
    <row r="24" customFormat="false" ht="30" hidden="false" customHeight="true" outlineLevel="0" collapsed="false">
      <c r="A24" s="8" t="s">
        <v>115</v>
      </c>
      <c r="B24" s="8"/>
      <c r="C24" s="8"/>
      <c r="D24" s="8"/>
      <c r="E24" s="8"/>
    </row>
  </sheetData>
  <mergeCells count="7">
    <mergeCell ref="A2:E2"/>
    <mergeCell ref="A3:E3"/>
    <mergeCell ref="C5:E5"/>
    <mergeCell ref="C6:E6"/>
    <mergeCell ref="C7:E7"/>
    <mergeCell ref="C8:E8"/>
    <mergeCell ref="A24:E24"/>
  </mergeCells>
  <printOptions headings="false" gridLines="false" gridLinesSet="true" horizontalCentered="tru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Roles y SCRUM - Equipo 03 - Proyecto 4  |  Pagina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4" min="3" style="0" width="54"/>
    <col collapsed="false" customWidth="true" hidden="false" outlineLevel="0" max="5" min="5" style="0" width="12"/>
    <col collapsed="false" customWidth="true" hidden="false" outlineLevel="0" max="7" min="6" style="0" width="10"/>
    <col collapsed="false" customWidth="true" hidden="false" outlineLevel="0" max="8" min="8" style="0" width="14"/>
  </cols>
  <sheetData>
    <row r="2" customFormat="false" ht="21.75" hidden="false" customHeight="true" outlineLevel="0" collapsed="false">
      <c r="A2" s="1" t="s">
        <v>101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A3" s="2" t="s">
        <v>116</v>
      </c>
      <c r="B3" s="2"/>
      <c r="C3" s="2"/>
      <c r="D3" s="2"/>
      <c r="E3" s="2"/>
      <c r="F3" s="2"/>
      <c r="G3" s="2"/>
      <c r="H3" s="2"/>
      <c r="I3" s="2"/>
    </row>
    <row r="5" customFormat="false" ht="30" hidden="false" customHeight="true" outlineLevel="0" collapsed="false">
      <c r="A5" s="3" t="s">
        <v>117</v>
      </c>
      <c r="B5" s="3" t="s">
        <v>118</v>
      </c>
      <c r="C5" s="3" t="s">
        <v>119</v>
      </c>
      <c r="D5" s="3" t="s">
        <v>120</v>
      </c>
      <c r="E5" s="3" t="s">
        <v>121</v>
      </c>
      <c r="F5" s="3" t="s">
        <v>122</v>
      </c>
      <c r="G5" s="3" t="s">
        <v>123</v>
      </c>
      <c r="H5" s="3" t="s">
        <v>124</v>
      </c>
    </row>
    <row r="6" customFormat="false" ht="23.85" hidden="false" customHeight="false" outlineLevel="0" collapsed="false">
      <c r="A6" s="6" t="s">
        <v>125</v>
      </c>
      <c r="B6" s="4" t="s">
        <v>126</v>
      </c>
      <c r="C6" s="4" t="s">
        <v>127</v>
      </c>
      <c r="D6" s="4" t="s">
        <v>128</v>
      </c>
      <c r="E6" s="6" t="s">
        <v>129</v>
      </c>
      <c r="F6" s="6" t="n">
        <v>8</v>
      </c>
      <c r="G6" s="6" t="s">
        <v>130</v>
      </c>
      <c r="H6" s="6" t="s">
        <v>131</v>
      </c>
    </row>
    <row r="7" customFormat="false" ht="23.85" hidden="false" customHeight="false" outlineLevel="0" collapsed="false">
      <c r="A7" s="7" t="s">
        <v>132</v>
      </c>
      <c r="B7" s="5" t="s">
        <v>126</v>
      </c>
      <c r="C7" s="5" t="s">
        <v>133</v>
      </c>
      <c r="D7" s="5" t="s">
        <v>134</v>
      </c>
      <c r="E7" s="7" t="s">
        <v>129</v>
      </c>
      <c r="F7" s="7" t="n">
        <v>5</v>
      </c>
      <c r="G7" s="7" t="s">
        <v>130</v>
      </c>
      <c r="H7" s="7" t="s">
        <v>131</v>
      </c>
    </row>
    <row r="8" customFormat="false" ht="23.85" hidden="false" customHeight="false" outlineLevel="0" collapsed="false">
      <c r="A8" s="6" t="s">
        <v>135</v>
      </c>
      <c r="B8" s="4" t="s">
        <v>126</v>
      </c>
      <c r="C8" s="4" t="s">
        <v>136</v>
      </c>
      <c r="D8" s="4" t="s">
        <v>137</v>
      </c>
      <c r="E8" s="6" t="s">
        <v>129</v>
      </c>
      <c r="F8" s="6" t="n">
        <v>8</v>
      </c>
      <c r="G8" s="6" t="s">
        <v>130</v>
      </c>
      <c r="H8" s="6" t="s">
        <v>131</v>
      </c>
    </row>
    <row r="9" customFormat="false" ht="23.85" hidden="false" customHeight="false" outlineLevel="0" collapsed="false">
      <c r="A9" s="7" t="s">
        <v>138</v>
      </c>
      <c r="B9" s="5" t="s">
        <v>139</v>
      </c>
      <c r="C9" s="5" t="s">
        <v>140</v>
      </c>
      <c r="D9" s="5" t="s">
        <v>141</v>
      </c>
      <c r="E9" s="7" t="s">
        <v>129</v>
      </c>
      <c r="F9" s="7" t="n">
        <v>8</v>
      </c>
      <c r="G9" s="7" t="s">
        <v>142</v>
      </c>
      <c r="H9" s="7" t="s">
        <v>131</v>
      </c>
    </row>
    <row r="10" customFormat="false" ht="23.85" hidden="false" customHeight="false" outlineLevel="0" collapsed="false">
      <c r="A10" s="6" t="s">
        <v>143</v>
      </c>
      <c r="B10" s="4" t="s">
        <v>139</v>
      </c>
      <c r="C10" s="4" t="s">
        <v>144</v>
      </c>
      <c r="D10" s="4" t="s">
        <v>145</v>
      </c>
      <c r="E10" s="6" t="s">
        <v>129</v>
      </c>
      <c r="F10" s="6" t="n">
        <v>8</v>
      </c>
      <c r="G10" s="6" t="s">
        <v>142</v>
      </c>
      <c r="H10" s="6" t="s">
        <v>131</v>
      </c>
    </row>
    <row r="11" customFormat="false" ht="23.85" hidden="false" customHeight="false" outlineLevel="0" collapsed="false">
      <c r="A11" s="7" t="s">
        <v>146</v>
      </c>
      <c r="B11" s="5" t="s">
        <v>139</v>
      </c>
      <c r="C11" s="5" t="s">
        <v>147</v>
      </c>
      <c r="D11" s="5" t="s">
        <v>148</v>
      </c>
      <c r="E11" s="7" t="s">
        <v>149</v>
      </c>
      <c r="F11" s="7" t="n">
        <v>5</v>
      </c>
      <c r="G11" s="7" t="s">
        <v>142</v>
      </c>
      <c r="H11" s="7" t="s">
        <v>131</v>
      </c>
    </row>
    <row r="12" customFormat="false" ht="23.85" hidden="false" customHeight="false" outlineLevel="0" collapsed="false">
      <c r="A12" s="6" t="s">
        <v>150</v>
      </c>
      <c r="B12" s="4" t="s">
        <v>139</v>
      </c>
      <c r="C12" s="4" t="s">
        <v>151</v>
      </c>
      <c r="D12" s="4" t="s">
        <v>152</v>
      </c>
      <c r="E12" s="6" t="s">
        <v>149</v>
      </c>
      <c r="F12" s="6" t="n">
        <v>5</v>
      </c>
      <c r="G12" s="6" t="s">
        <v>142</v>
      </c>
      <c r="H12" s="6" t="s">
        <v>131</v>
      </c>
    </row>
    <row r="13" customFormat="false" ht="23.85" hidden="false" customHeight="false" outlineLevel="0" collapsed="false">
      <c r="A13" s="7" t="s">
        <v>153</v>
      </c>
      <c r="B13" s="5" t="s">
        <v>154</v>
      </c>
      <c r="C13" s="5" t="s">
        <v>155</v>
      </c>
      <c r="D13" s="5" t="s">
        <v>156</v>
      </c>
      <c r="E13" s="7" t="s">
        <v>129</v>
      </c>
      <c r="F13" s="7" t="n">
        <v>5</v>
      </c>
      <c r="G13" s="7" t="s">
        <v>157</v>
      </c>
      <c r="H13" s="7" t="s">
        <v>131</v>
      </c>
    </row>
    <row r="14" customFormat="false" ht="23.85" hidden="false" customHeight="false" outlineLevel="0" collapsed="false">
      <c r="A14" s="6" t="s">
        <v>158</v>
      </c>
      <c r="B14" s="4" t="s">
        <v>154</v>
      </c>
      <c r="C14" s="4" t="s">
        <v>159</v>
      </c>
      <c r="D14" s="4" t="s">
        <v>160</v>
      </c>
      <c r="E14" s="6" t="s">
        <v>129</v>
      </c>
      <c r="F14" s="6" t="n">
        <v>3</v>
      </c>
      <c r="G14" s="6" t="s">
        <v>157</v>
      </c>
      <c r="H14" s="6" t="s">
        <v>131</v>
      </c>
    </row>
    <row r="15" customFormat="false" ht="23.85" hidden="false" customHeight="false" outlineLevel="0" collapsed="false">
      <c r="A15" s="7" t="s">
        <v>161</v>
      </c>
      <c r="B15" s="5" t="s">
        <v>162</v>
      </c>
      <c r="C15" s="5" t="s">
        <v>163</v>
      </c>
      <c r="D15" s="5" t="s">
        <v>164</v>
      </c>
      <c r="E15" s="7" t="s">
        <v>129</v>
      </c>
      <c r="F15" s="7" t="n">
        <v>5</v>
      </c>
      <c r="G15" s="7" t="s">
        <v>157</v>
      </c>
      <c r="H15" s="7" t="s">
        <v>131</v>
      </c>
    </row>
    <row r="16" customFormat="false" ht="23.85" hidden="false" customHeight="false" outlineLevel="0" collapsed="false">
      <c r="A16" s="6" t="s">
        <v>165</v>
      </c>
      <c r="B16" s="4" t="s">
        <v>166</v>
      </c>
      <c r="C16" s="4" t="s">
        <v>167</v>
      </c>
      <c r="D16" s="4" t="s">
        <v>168</v>
      </c>
      <c r="E16" s="6" t="s">
        <v>129</v>
      </c>
      <c r="F16" s="6" t="n">
        <v>5</v>
      </c>
      <c r="G16" s="6" t="s">
        <v>157</v>
      </c>
      <c r="H16" s="6" t="s">
        <v>131</v>
      </c>
    </row>
    <row r="17" customFormat="false" ht="23.85" hidden="false" customHeight="false" outlineLevel="0" collapsed="false">
      <c r="A17" s="7" t="s">
        <v>169</v>
      </c>
      <c r="B17" s="5" t="s">
        <v>170</v>
      </c>
      <c r="C17" s="5" t="s">
        <v>171</v>
      </c>
      <c r="D17" s="5" t="s">
        <v>172</v>
      </c>
      <c r="E17" s="7" t="s">
        <v>129</v>
      </c>
      <c r="F17" s="7" t="n">
        <v>3</v>
      </c>
      <c r="G17" s="7" t="s">
        <v>157</v>
      </c>
      <c r="H17" s="7" t="s">
        <v>131</v>
      </c>
    </row>
    <row r="18" customFormat="false" ht="23.85" hidden="false" customHeight="false" outlineLevel="0" collapsed="false">
      <c r="A18" s="6" t="s">
        <v>173</v>
      </c>
      <c r="B18" s="4" t="s">
        <v>174</v>
      </c>
      <c r="C18" s="4" t="s">
        <v>175</v>
      </c>
      <c r="D18" s="4" t="s">
        <v>176</v>
      </c>
      <c r="E18" s="6" t="s">
        <v>129</v>
      </c>
      <c r="F18" s="6" t="n">
        <v>5</v>
      </c>
      <c r="G18" s="6" t="s">
        <v>157</v>
      </c>
      <c r="H18" s="6" t="s">
        <v>131</v>
      </c>
    </row>
    <row r="19" customFormat="false" ht="23.85" hidden="false" customHeight="false" outlineLevel="0" collapsed="false">
      <c r="A19" s="7" t="s">
        <v>177</v>
      </c>
      <c r="B19" s="5" t="s">
        <v>174</v>
      </c>
      <c r="C19" s="5" t="s">
        <v>178</v>
      </c>
      <c r="D19" s="5" t="s">
        <v>179</v>
      </c>
      <c r="E19" s="7" t="s">
        <v>129</v>
      </c>
      <c r="F19" s="7" t="n">
        <v>13</v>
      </c>
      <c r="G19" s="7" t="s">
        <v>180</v>
      </c>
      <c r="H19" s="7" t="s">
        <v>131</v>
      </c>
    </row>
    <row r="20" customFormat="false" ht="23.85" hidden="false" customHeight="false" outlineLevel="0" collapsed="false">
      <c r="A20" s="6" t="s">
        <v>181</v>
      </c>
      <c r="B20" s="4" t="s">
        <v>174</v>
      </c>
      <c r="C20" s="4" t="s">
        <v>182</v>
      </c>
      <c r="D20" s="4" t="s">
        <v>183</v>
      </c>
      <c r="E20" s="6" t="s">
        <v>129</v>
      </c>
      <c r="F20" s="6" t="n">
        <v>8</v>
      </c>
      <c r="G20" s="6" t="s">
        <v>180</v>
      </c>
      <c r="H20" s="6" t="s">
        <v>131</v>
      </c>
    </row>
    <row r="21" customFormat="false" ht="23.85" hidden="false" customHeight="false" outlineLevel="0" collapsed="false">
      <c r="A21" s="7" t="s">
        <v>184</v>
      </c>
      <c r="B21" s="5" t="s">
        <v>185</v>
      </c>
      <c r="C21" s="5" t="s">
        <v>186</v>
      </c>
      <c r="D21" s="5" t="s">
        <v>187</v>
      </c>
      <c r="E21" s="7" t="s">
        <v>129</v>
      </c>
      <c r="F21" s="7" t="n">
        <v>8</v>
      </c>
      <c r="G21" s="7" t="s">
        <v>180</v>
      </c>
      <c r="H21" s="7" t="s">
        <v>131</v>
      </c>
    </row>
    <row r="22" customFormat="false" ht="23.85" hidden="false" customHeight="false" outlineLevel="0" collapsed="false">
      <c r="A22" s="6" t="s">
        <v>188</v>
      </c>
      <c r="B22" s="4" t="s">
        <v>189</v>
      </c>
      <c r="C22" s="4" t="s">
        <v>190</v>
      </c>
      <c r="D22" s="4" t="s">
        <v>191</v>
      </c>
      <c r="E22" s="6" t="s">
        <v>129</v>
      </c>
      <c r="F22" s="6" t="n">
        <v>5</v>
      </c>
      <c r="G22" s="6" t="s">
        <v>180</v>
      </c>
      <c r="H22" s="6" t="s">
        <v>131</v>
      </c>
    </row>
    <row r="23" customFormat="false" ht="23.85" hidden="false" customHeight="false" outlineLevel="0" collapsed="false">
      <c r="A23" s="7" t="s">
        <v>192</v>
      </c>
      <c r="B23" s="5" t="s">
        <v>193</v>
      </c>
      <c r="C23" s="5" t="s">
        <v>194</v>
      </c>
      <c r="D23" s="5" t="s">
        <v>195</v>
      </c>
      <c r="E23" s="7" t="s">
        <v>129</v>
      </c>
      <c r="F23" s="7" t="n">
        <v>8</v>
      </c>
      <c r="G23" s="7" t="s">
        <v>180</v>
      </c>
      <c r="H23" s="7" t="s">
        <v>196</v>
      </c>
    </row>
    <row r="24" customFormat="false" ht="23.85" hidden="false" customHeight="false" outlineLevel="0" collapsed="false">
      <c r="A24" s="6" t="s">
        <v>197</v>
      </c>
      <c r="B24" s="4" t="s">
        <v>198</v>
      </c>
      <c r="C24" s="4" t="s">
        <v>199</v>
      </c>
      <c r="D24" s="4" t="s">
        <v>200</v>
      </c>
      <c r="E24" s="6" t="s">
        <v>129</v>
      </c>
      <c r="F24" s="6" t="n">
        <v>5</v>
      </c>
      <c r="G24" s="6" t="s">
        <v>201</v>
      </c>
      <c r="H24" s="6" t="s">
        <v>196</v>
      </c>
    </row>
    <row r="25" customFormat="false" ht="23.85" hidden="false" customHeight="false" outlineLevel="0" collapsed="false">
      <c r="A25" s="7" t="s">
        <v>202</v>
      </c>
      <c r="B25" s="5" t="s">
        <v>198</v>
      </c>
      <c r="C25" s="5" t="s">
        <v>203</v>
      </c>
      <c r="D25" s="5" t="s">
        <v>204</v>
      </c>
      <c r="E25" s="7" t="s">
        <v>129</v>
      </c>
      <c r="F25" s="7" t="n">
        <v>5</v>
      </c>
      <c r="G25" s="7" t="s">
        <v>201</v>
      </c>
      <c r="H25" s="7" t="s">
        <v>196</v>
      </c>
    </row>
    <row r="26" customFormat="false" ht="23.85" hidden="false" customHeight="false" outlineLevel="0" collapsed="false">
      <c r="A26" s="6" t="s">
        <v>205</v>
      </c>
      <c r="B26" s="4" t="s">
        <v>170</v>
      </c>
      <c r="C26" s="4" t="s">
        <v>206</v>
      </c>
      <c r="D26" s="4" t="s">
        <v>207</v>
      </c>
      <c r="E26" s="6" t="s">
        <v>129</v>
      </c>
      <c r="F26" s="6" t="n">
        <v>8</v>
      </c>
      <c r="G26" s="6" t="s">
        <v>201</v>
      </c>
      <c r="H26" s="6" t="s">
        <v>196</v>
      </c>
    </row>
    <row r="27" customFormat="false" ht="23.85" hidden="false" customHeight="false" outlineLevel="0" collapsed="false">
      <c r="A27" s="7" t="s">
        <v>208</v>
      </c>
      <c r="B27" s="5" t="s">
        <v>209</v>
      </c>
      <c r="C27" s="5" t="s">
        <v>210</v>
      </c>
      <c r="D27" s="5" t="s">
        <v>211</v>
      </c>
      <c r="E27" s="7" t="s">
        <v>129</v>
      </c>
      <c r="F27" s="7" t="n">
        <v>8</v>
      </c>
      <c r="G27" s="7" t="s">
        <v>201</v>
      </c>
      <c r="H27" s="7" t="s">
        <v>196</v>
      </c>
    </row>
    <row r="28" customFormat="false" ht="23.85" hidden="false" customHeight="false" outlineLevel="0" collapsed="false">
      <c r="A28" s="6" t="s">
        <v>212</v>
      </c>
      <c r="B28" s="4" t="s">
        <v>213</v>
      </c>
      <c r="C28" s="4" t="s">
        <v>214</v>
      </c>
      <c r="D28" s="4" t="s">
        <v>215</v>
      </c>
      <c r="E28" s="6" t="s">
        <v>129</v>
      </c>
      <c r="F28" s="6" t="n">
        <v>5</v>
      </c>
      <c r="G28" s="6" t="s">
        <v>201</v>
      </c>
      <c r="H28" s="6" t="s">
        <v>196</v>
      </c>
    </row>
    <row r="29" customFormat="false" ht="23.85" hidden="false" customHeight="false" outlineLevel="0" collapsed="false">
      <c r="A29" s="7" t="s">
        <v>216</v>
      </c>
      <c r="B29" s="5" t="s">
        <v>189</v>
      </c>
      <c r="C29" s="5" t="s">
        <v>217</v>
      </c>
      <c r="D29" s="5" t="s">
        <v>218</v>
      </c>
      <c r="E29" s="7" t="s">
        <v>129</v>
      </c>
      <c r="F29" s="7" t="n">
        <v>5</v>
      </c>
      <c r="G29" s="7" t="s">
        <v>201</v>
      </c>
      <c r="H29" s="7" t="s">
        <v>196</v>
      </c>
    </row>
    <row r="30" customFormat="false" ht="23.85" hidden="false" customHeight="false" outlineLevel="0" collapsed="false">
      <c r="A30" s="6" t="s">
        <v>219</v>
      </c>
      <c r="B30" s="4" t="s">
        <v>220</v>
      </c>
      <c r="C30" s="4" t="s">
        <v>221</v>
      </c>
      <c r="D30" s="4" t="s">
        <v>222</v>
      </c>
      <c r="E30" s="6" t="s">
        <v>129</v>
      </c>
      <c r="F30" s="6" t="n">
        <v>5</v>
      </c>
      <c r="G30" s="6" t="s">
        <v>201</v>
      </c>
      <c r="H30" s="6" t="s">
        <v>223</v>
      </c>
    </row>
    <row r="31" customFormat="false" ht="23.85" hidden="false" customHeight="false" outlineLevel="0" collapsed="false">
      <c r="A31" s="7" t="s">
        <v>224</v>
      </c>
      <c r="B31" s="5" t="s">
        <v>198</v>
      </c>
      <c r="C31" s="5" t="s">
        <v>225</v>
      </c>
      <c r="D31" s="5" t="s">
        <v>226</v>
      </c>
      <c r="E31" s="7" t="s">
        <v>149</v>
      </c>
      <c r="F31" s="7" t="n">
        <v>3</v>
      </c>
      <c r="G31" s="7" t="s">
        <v>227</v>
      </c>
      <c r="H31" s="7" t="s">
        <v>223</v>
      </c>
    </row>
    <row r="32" customFormat="false" ht="23.85" hidden="false" customHeight="false" outlineLevel="0" collapsed="false">
      <c r="A32" s="6" t="s">
        <v>228</v>
      </c>
      <c r="B32" s="4" t="s">
        <v>193</v>
      </c>
      <c r="C32" s="4" t="s">
        <v>229</v>
      </c>
      <c r="D32" s="4" t="s">
        <v>230</v>
      </c>
      <c r="E32" s="6" t="s">
        <v>149</v>
      </c>
      <c r="F32" s="6" t="n">
        <v>5</v>
      </c>
      <c r="G32" s="6" t="s">
        <v>227</v>
      </c>
      <c r="H32" s="6" t="s">
        <v>223</v>
      </c>
    </row>
    <row r="33" customFormat="false" ht="23.85" hidden="false" customHeight="false" outlineLevel="0" collapsed="false">
      <c r="A33" s="7" t="s">
        <v>231</v>
      </c>
      <c r="B33" s="5" t="s">
        <v>232</v>
      </c>
      <c r="C33" s="5" t="s">
        <v>233</v>
      </c>
      <c r="D33" s="5" t="s">
        <v>234</v>
      </c>
      <c r="E33" s="7" t="s">
        <v>149</v>
      </c>
      <c r="F33" s="7" t="n">
        <v>5</v>
      </c>
      <c r="G33" s="7" t="s">
        <v>227</v>
      </c>
      <c r="H33" s="7" t="s">
        <v>223</v>
      </c>
    </row>
    <row r="34" customFormat="false" ht="23.85" hidden="false" customHeight="false" outlineLevel="0" collapsed="false">
      <c r="A34" s="6" t="s">
        <v>235</v>
      </c>
      <c r="B34" s="4" t="s">
        <v>213</v>
      </c>
      <c r="C34" s="4" t="s">
        <v>236</v>
      </c>
      <c r="D34" s="4" t="s">
        <v>237</v>
      </c>
      <c r="E34" s="6" t="s">
        <v>149</v>
      </c>
      <c r="F34" s="6" t="n">
        <v>3</v>
      </c>
      <c r="G34" s="6" t="s">
        <v>227</v>
      </c>
      <c r="H34" s="6" t="s">
        <v>223</v>
      </c>
    </row>
    <row r="35" customFormat="false" ht="23.85" hidden="false" customHeight="false" outlineLevel="0" collapsed="false">
      <c r="A35" s="7" t="s">
        <v>238</v>
      </c>
      <c r="B35" s="5" t="s">
        <v>154</v>
      </c>
      <c r="C35" s="5" t="s">
        <v>239</v>
      </c>
      <c r="D35" s="5" t="s">
        <v>240</v>
      </c>
      <c r="E35" s="7" t="s">
        <v>149</v>
      </c>
      <c r="F35" s="7" t="n">
        <v>5</v>
      </c>
      <c r="G35" s="7" t="s">
        <v>227</v>
      </c>
      <c r="H35" s="7" t="s">
        <v>223</v>
      </c>
    </row>
    <row r="36" customFormat="false" ht="23.85" hidden="false" customHeight="false" outlineLevel="0" collapsed="false">
      <c r="A36" s="6" t="s">
        <v>241</v>
      </c>
      <c r="B36" s="4" t="s">
        <v>220</v>
      </c>
      <c r="C36" s="4" t="s">
        <v>242</v>
      </c>
      <c r="D36" s="4" t="s">
        <v>243</v>
      </c>
      <c r="E36" s="6" t="s">
        <v>129</v>
      </c>
      <c r="F36" s="6" t="n">
        <v>8</v>
      </c>
      <c r="G36" s="6" t="s">
        <v>227</v>
      </c>
      <c r="H36" s="6" t="s">
        <v>223</v>
      </c>
    </row>
    <row r="37" customFormat="false" ht="23.85" hidden="false" customHeight="false" outlineLevel="0" collapsed="false">
      <c r="A37" s="7" t="s">
        <v>244</v>
      </c>
      <c r="B37" s="5" t="s">
        <v>245</v>
      </c>
      <c r="C37" s="5" t="s">
        <v>246</v>
      </c>
      <c r="D37" s="5" t="s">
        <v>247</v>
      </c>
      <c r="E37" s="7" t="s">
        <v>129</v>
      </c>
      <c r="F37" s="7" t="n">
        <v>13</v>
      </c>
      <c r="G37" s="7" t="s">
        <v>248</v>
      </c>
      <c r="H37" s="7" t="s">
        <v>223</v>
      </c>
    </row>
    <row r="38" customFormat="false" ht="23.85" hidden="false" customHeight="false" outlineLevel="0" collapsed="false">
      <c r="A38" s="6" t="s">
        <v>249</v>
      </c>
      <c r="B38" s="4" t="s">
        <v>245</v>
      </c>
      <c r="C38" s="4" t="s">
        <v>250</v>
      </c>
      <c r="D38" s="4" t="s">
        <v>251</v>
      </c>
      <c r="E38" s="6" t="s">
        <v>129</v>
      </c>
      <c r="F38" s="6" t="n">
        <v>8</v>
      </c>
      <c r="G38" s="6" t="s">
        <v>248</v>
      </c>
      <c r="H38" s="6" t="s">
        <v>223</v>
      </c>
    </row>
    <row r="39" customFormat="false" ht="23.85" hidden="false" customHeight="false" outlineLevel="0" collapsed="false">
      <c r="A39" s="7" t="s">
        <v>252</v>
      </c>
      <c r="B39" s="5" t="s">
        <v>253</v>
      </c>
      <c r="C39" s="5" t="s">
        <v>254</v>
      </c>
      <c r="D39" s="5" t="s">
        <v>255</v>
      </c>
      <c r="E39" s="7" t="s">
        <v>129</v>
      </c>
      <c r="F39" s="7" t="n">
        <v>13</v>
      </c>
      <c r="G39" s="7" t="s">
        <v>248</v>
      </c>
      <c r="H39" s="7" t="s">
        <v>223</v>
      </c>
    </row>
    <row r="40" customFormat="false" ht="23.85" hidden="false" customHeight="false" outlineLevel="0" collapsed="false">
      <c r="A40" s="6" t="s">
        <v>256</v>
      </c>
      <c r="B40" s="4" t="s">
        <v>257</v>
      </c>
      <c r="C40" s="4" t="s">
        <v>258</v>
      </c>
      <c r="D40" s="4" t="s">
        <v>259</v>
      </c>
      <c r="E40" s="6" t="s">
        <v>149</v>
      </c>
      <c r="F40" s="6" t="n">
        <v>13</v>
      </c>
      <c r="G40" s="6" t="s">
        <v>260</v>
      </c>
      <c r="H40" s="6" t="s">
        <v>223</v>
      </c>
    </row>
    <row r="41" customFormat="false" ht="23.85" hidden="false" customHeight="false" outlineLevel="0" collapsed="false">
      <c r="A41" s="7" t="s">
        <v>261</v>
      </c>
      <c r="B41" s="5" t="s">
        <v>262</v>
      </c>
      <c r="C41" s="5" t="s">
        <v>263</v>
      </c>
      <c r="D41" s="5" t="s">
        <v>264</v>
      </c>
      <c r="E41" s="7" t="s">
        <v>129</v>
      </c>
      <c r="F41" s="7" t="n">
        <v>13</v>
      </c>
      <c r="G41" s="7" t="s">
        <v>260</v>
      </c>
      <c r="H41" s="7" t="s">
        <v>223</v>
      </c>
    </row>
    <row r="42" customFormat="false" ht="23.85" hidden="false" customHeight="false" outlineLevel="0" collapsed="false">
      <c r="A42" s="6" t="s">
        <v>265</v>
      </c>
      <c r="B42" s="4" t="s">
        <v>262</v>
      </c>
      <c r="C42" s="4" t="s">
        <v>266</v>
      </c>
      <c r="D42" s="4" t="s">
        <v>267</v>
      </c>
      <c r="E42" s="6" t="s">
        <v>129</v>
      </c>
      <c r="F42" s="6" t="n">
        <v>8</v>
      </c>
      <c r="G42" s="6" t="s">
        <v>260</v>
      </c>
      <c r="H42" s="6" t="s">
        <v>223</v>
      </c>
    </row>
    <row r="44" customFormat="false" ht="15" hidden="false" customHeight="false" outlineLevel="0" collapsed="false">
      <c r="B44" s="9" t="s">
        <v>268</v>
      </c>
    </row>
    <row r="45" customFormat="false" ht="30" hidden="false" customHeight="true" outlineLevel="0" collapsed="false">
      <c r="A45" s="3" t="s">
        <v>124</v>
      </c>
      <c r="B45" s="3" t="s">
        <v>269</v>
      </c>
      <c r="C45" s="3" t="s">
        <v>122</v>
      </c>
    </row>
    <row r="46" customFormat="false" ht="15" hidden="false" customHeight="false" outlineLevel="0" collapsed="false">
      <c r="A46" s="10" t="s">
        <v>131</v>
      </c>
      <c r="B46" s="11" t="n">
        <f aca="false">COUNTIF(H6:H42,A46)</f>
        <v>17</v>
      </c>
      <c r="C46" s="11" t="n">
        <f aca="false">SUMIF(H6:H42,A46,F6:F42)</f>
        <v>107</v>
      </c>
    </row>
    <row r="47" customFormat="false" ht="15" hidden="false" customHeight="false" outlineLevel="0" collapsed="false">
      <c r="A47" s="10" t="s">
        <v>196</v>
      </c>
      <c r="B47" s="11" t="n">
        <f aca="false">COUNTIF(H6:H42,A47)</f>
        <v>7</v>
      </c>
      <c r="C47" s="11" t="n">
        <f aca="false">SUMIF(H6:H42,A47,F6:F42)</f>
        <v>44</v>
      </c>
    </row>
    <row r="48" customFormat="false" ht="15" hidden="false" customHeight="false" outlineLevel="0" collapsed="false">
      <c r="A48" s="10" t="s">
        <v>223</v>
      </c>
      <c r="B48" s="11" t="n">
        <f aca="false">COUNTIF(H6:H42,A48)</f>
        <v>13</v>
      </c>
      <c r="C48" s="11" t="n">
        <f aca="false">SUMIF(H6:H42,A48,F6:F42)</f>
        <v>102</v>
      </c>
    </row>
    <row r="49" customFormat="false" ht="15" hidden="false" customHeight="false" outlineLevel="0" collapsed="false">
      <c r="A49" s="12" t="s">
        <v>270</v>
      </c>
      <c r="B49" s="13" t="n">
        <f aca="false">COUNTA(A6:A42)</f>
        <v>37</v>
      </c>
      <c r="C49" s="13" t="n">
        <f aca="false">SUM(F6:F42)</f>
        <v>253</v>
      </c>
    </row>
  </sheetData>
  <mergeCells count="2">
    <mergeCell ref="A2:I2"/>
    <mergeCell ref="A3:I3"/>
  </mergeCells>
  <printOptions headings="false" gridLines="false" gridLinesSet="true" horizontalCentered="tru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Roles y SCRUM - Equipo 03 - Proyecto 4  |  Pagina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56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14"/>
  </cols>
  <sheetData>
    <row r="2" customFormat="false" ht="21.75" hidden="false" customHeight="true" outlineLevel="0" collapsed="false">
      <c r="A2" s="1" t="s">
        <v>271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 t="s">
        <v>272</v>
      </c>
      <c r="B3" s="2"/>
      <c r="C3" s="2"/>
      <c r="D3" s="2"/>
      <c r="E3" s="2"/>
      <c r="F3" s="2"/>
      <c r="G3" s="2"/>
      <c r="H3" s="2"/>
    </row>
    <row r="5" customFormat="false" ht="30" hidden="false" customHeight="true" outlineLevel="0" collapsed="false">
      <c r="A5" s="3" t="s">
        <v>123</v>
      </c>
      <c r="B5" s="3" t="s">
        <v>11</v>
      </c>
      <c r="C5" s="3" t="s">
        <v>273</v>
      </c>
      <c r="D5" s="3" t="s">
        <v>274</v>
      </c>
      <c r="E5" s="3" t="s">
        <v>275</v>
      </c>
      <c r="F5" s="3" t="s">
        <v>276</v>
      </c>
      <c r="G5" s="3" t="s">
        <v>277</v>
      </c>
      <c r="H5" s="3" t="s">
        <v>124</v>
      </c>
    </row>
    <row r="6" customFormat="false" ht="15" hidden="false" customHeight="false" outlineLevel="0" collapsed="false">
      <c r="A6" s="6" t="s">
        <v>130</v>
      </c>
      <c r="B6" s="4" t="s">
        <v>278</v>
      </c>
      <c r="C6" s="4" t="s">
        <v>279</v>
      </c>
      <c r="D6" s="4" t="s">
        <v>280</v>
      </c>
      <c r="E6" s="6" t="n">
        <f aca="false">SUMIF(Backlog!$G$6:$G$42,$A6,Backlog!$F$6:$F$42)</f>
        <v>21</v>
      </c>
      <c r="F6" s="6" t="n">
        <f aca="false">SUMIFS(Backlog!$F$6:$F$42,Backlog!$G$6:$G$42,$A6,Backlog!$H$6:$H$42,"Terminado")</f>
        <v>21</v>
      </c>
      <c r="G6" s="14" t="n">
        <f aca="false">IF($E6=0,"",$F6/$E6)</f>
        <v>1</v>
      </c>
      <c r="H6" s="6" t="s">
        <v>281</v>
      </c>
    </row>
    <row r="7" customFormat="false" ht="15" hidden="false" customHeight="false" outlineLevel="0" collapsed="false">
      <c r="A7" s="7" t="s">
        <v>142</v>
      </c>
      <c r="B7" s="5" t="s">
        <v>282</v>
      </c>
      <c r="C7" s="5" t="s">
        <v>279</v>
      </c>
      <c r="D7" s="5" t="s">
        <v>283</v>
      </c>
      <c r="E7" s="7" t="n">
        <f aca="false">SUMIF(Backlog!$G$6:$G$42,$A7,Backlog!$F$6:$F$42)</f>
        <v>26</v>
      </c>
      <c r="F7" s="7" t="n">
        <f aca="false">SUMIFS(Backlog!$F$6:$F$42,Backlog!$G$6:$G$42,$A7,Backlog!$H$6:$H$42,"Terminado")</f>
        <v>26</v>
      </c>
      <c r="G7" s="15" t="n">
        <f aca="false">IF($E7=0,"",$F7/$E7)</f>
        <v>1</v>
      </c>
      <c r="H7" s="7" t="s">
        <v>281</v>
      </c>
    </row>
    <row r="8" customFormat="false" ht="15" hidden="false" customHeight="false" outlineLevel="0" collapsed="false">
      <c r="A8" s="6" t="s">
        <v>157</v>
      </c>
      <c r="B8" s="4" t="s">
        <v>284</v>
      </c>
      <c r="C8" s="4" t="s">
        <v>279</v>
      </c>
      <c r="D8" s="4" t="s">
        <v>285</v>
      </c>
      <c r="E8" s="6" t="n">
        <f aca="false">SUMIF(Backlog!$G$6:$G$42,$A8,Backlog!$F$6:$F$42)</f>
        <v>26</v>
      </c>
      <c r="F8" s="6" t="n">
        <f aca="false">SUMIFS(Backlog!$F$6:$F$42,Backlog!$G$6:$G$42,$A8,Backlog!$H$6:$H$42,"Terminado")</f>
        <v>26</v>
      </c>
      <c r="G8" s="14" t="n">
        <f aca="false">IF($E8=0,"",$F8/$E8)</f>
        <v>1</v>
      </c>
      <c r="H8" s="6" t="s">
        <v>281</v>
      </c>
    </row>
    <row r="9" customFormat="false" ht="23.85" hidden="false" customHeight="false" outlineLevel="0" collapsed="false">
      <c r="A9" s="7" t="s">
        <v>180</v>
      </c>
      <c r="B9" s="5" t="s">
        <v>286</v>
      </c>
      <c r="C9" s="5" t="s">
        <v>287</v>
      </c>
      <c r="D9" s="5" t="s">
        <v>288</v>
      </c>
      <c r="E9" s="7" t="n">
        <f aca="false">SUMIF(Backlog!$G$6:$G$42,$A9,Backlog!$F$6:$F$42)</f>
        <v>42</v>
      </c>
      <c r="F9" s="7" t="n">
        <f aca="false">SUMIFS(Backlog!$F$6:$F$42,Backlog!$G$6:$G$42,$A9,Backlog!$H$6:$H$42,"Terminado")</f>
        <v>34</v>
      </c>
      <c r="G9" s="15" t="n">
        <f aca="false">IF($E9=0,"",$F9/$E9)</f>
        <v>0.80952380952381</v>
      </c>
      <c r="H9" s="7" t="s">
        <v>196</v>
      </c>
    </row>
    <row r="10" customFormat="false" ht="23.85" hidden="false" customHeight="false" outlineLevel="0" collapsed="false">
      <c r="A10" s="6" t="s">
        <v>201</v>
      </c>
      <c r="B10" s="4" t="s">
        <v>289</v>
      </c>
      <c r="C10" s="4" t="s">
        <v>290</v>
      </c>
      <c r="D10" s="4" t="s">
        <v>291</v>
      </c>
      <c r="E10" s="6" t="n">
        <f aca="false">SUMIF(Backlog!$G$6:$G$42,$A10,Backlog!$F$6:$F$42)</f>
        <v>41</v>
      </c>
      <c r="F10" s="6" t="n">
        <f aca="false">SUMIFS(Backlog!$F$6:$F$42,Backlog!$G$6:$G$42,$A10,Backlog!$H$6:$H$42,"Terminado")</f>
        <v>0</v>
      </c>
      <c r="G10" s="14" t="n">
        <f aca="false">IF($E10=0,"",$F10/$E10)</f>
        <v>0</v>
      </c>
      <c r="H10" s="6" t="s">
        <v>292</v>
      </c>
    </row>
    <row r="11" customFormat="false" ht="15" hidden="false" customHeight="false" outlineLevel="0" collapsed="false">
      <c r="A11" s="7" t="s">
        <v>227</v>
      </c>
      <c r="B11" s="5" t="s">
        <v>293</v>
      </c>
      <c r="C11" s="5" t="s">
        <v>290</v>
      </c>
      <c r="D11" s="5" t="s">
        <v>294</v>
      </c>
      <c r="E11" s="7" t="n">
        <f aca="false">SUMIF(Backlog!$G$6:$G$42,$A11,Backlog!$F$6:$F$42)</f>
        <v>29</v>
      </c>
      <c r="F11" s="7" t="n">
        <f aca="false">SUMIFS(Backlog!$F$6:$F$42,Backlog!$G$6:$G$42,$A11,Backlog!$H$6:$H$42,"Terminado")</f>
        <v>0</v>
      </c>
      <c r="G11" s="15" t="n">
        <f aca="false">IF($E11=0,"",$F11/$E11)</f>
        <v>0</v>
      </c>
      <c r="H11" s="7" t="s">
        <v>292</v>
      </c>
    </row>
    <row r="12" customFormat="false" ht="15" hidden="false" customHeight="false" outlineLevel="0" collapsed="false">
      <c r="A12" s="6" t="s">
        <v>248</v>
      </c>
      <c r="B12" s="4" t="s">
        <v>295</v>
      </c>
      <c r="C12" s="4" t="s">
        <v>296</v>
      </c>
      <c r="D12" s="4" t="s">
        <v>297</v>
      </c>
      <c r="E12" s="6" t="n">
        <f aca="false">SUMIF(Backlog!$G$6:$G$42,$A12,Backlog!$F$6:$F$42)</f>
        <v>34</v>
      </c>
      <c r="F12" s="6" t="n">
        <f aca="false">SUMIFS(Backlog!$F$6:$F$42,Backlog!$G$6:$G$42,$A12,Backlog!$H$6:$H$42,"Terminado")</f>
        <v>0</v>
      </c>
      <c r="G12" s="14" t="n">
        <f aca="false">IF($E12=0,"",$F12/$E12)</f>
        <v>0</v>
      </c>
      <c r="H12" s="6" t="s">
        <v>292</v>
      </c>
    </row>
    <row r="13" customFormat="false" ht="15" hidden="false" customHeight="false" outlineLevel="0" collapsed="false">
      <c r="A13" s="7" t="s">
        <v>260</v>
      </c>
      <c r="B13" s="5" t="s">
        <v>298</v>
      </c>
      <c r="C13" s="5" t="s">
        <v>299</v>
      </c>
      <c r="D13" s="5" t="s">
        <v>300</v>
      </c>
      <c r="E13" s="7" t="n">
        <f aca="false">SUMIF(Backlog!$G$6:$G$42,$A13,Backlog!$F$6:$F$42)</f>
        <v>34</v>
      </c>
      <c r="F13" s="7" t="n">
        <f aca="false">SUMIFS(Backlog!$F$6:$F$42,Backlog!$G$6:$G$42,$A13,Backlog!$H$6:$H$42,"Terminado")</f>
        <v>0</v>
      </c>
      <c r="G13" s="15" t="n">
        <f aca="false">IF($E13=0,"",$F13/$E13)</f>
        <v>0</v>
      </c>
      <c r="H13" s="7" t="s">
        <v>292</v>
      </c>
    </row>
    <row r="15" customFormat="false" ht="30" hidden="false" customHeight="true" outlineLevel="0" collapsed="false">
      <c r="A15" s="8" t="s">
        <v>301</v>
      </c>
      <c r="B15" s="8"/>
      <c r="C15" s="8"/>
      <c r="D15" s="8"/>
      <c r="E15" s="8"/>
      <c r="F15" s="8"/>
      <c r="G15" s="8"/>
      <c r="H15" s="8"/>
    </row>
  </sheetData>
  <mergeCells count="3">
    <mergeCell ref="A2:H2"/>
    <mergeCell ref="A3:H3"/>
    <mergeCell ref="A15:H15"/>
  </mergeCells>
  <printOptions headings="false" gridLines="false" gridLinesSet="true" horizontalCentered="tru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Roles y SCRUM - Equipo 03 - Proyecto 4  |  Pagina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6" min="4" style="0" width="14"/>
    <col collapsed="false" customWidth="true" hidden="false" outlineLevel="0" max="7" min="7" style="0" width="40"/>
  </cols>
  <sheetData>
    <row r="2" customFormat="false" ht="21.75" hidden="false" customHeight="true" outlineLevel="0" collapsed="false">
      <c r="A2" s="1" t="s">
        <v>302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 t="s">
        <v>303</v>
      </c>
      <c r="B3" s="2"/>
      <c r="C3" s="2"/>
      <c r="D3" s="2"/>
      <c r="E3" s="2"/>
      <c r="F3" s="2"/>
      <c r="G3" s="2"/>
    </row>
    <row r="5" customFormat="false" ht="30" hidden="false" customHeight="true" outlineLevel="0" collapsed="false">
      <c r="A5" s="3" t="s">
        <v>304</v>
      </c>
      <c r="B5" s="3" t="s">
        <v>305</v>
      </c>
      <c r="C5" s="3" t="s">
        <v>306</v>
      </c>
      <c r="D5" s="3" t="s">
        <v>307</v>
      </c>
      <c r="E5" s="3" t="s">
        <v>308</v>
      </c>
      <c r="F5" s="3" t="s">
        <v>124</v>
      </c>
      <c r="G5" s="3" t="s">
        <v>309</v>
      </c>
    </row>
    <row r="6" customFormat="false" ht="23.85" hidden="false" customHeight="false" outlineLevel="0" collapsed="false">
      <c r="A6" s="4" t="s">
        <v>310</v>
      </c>
      <c r="B6" s="6" t="s">
        <v>177</v>
      </c>
      <c r="C6" s="4" t="s">
        <v>311</v>
      </c>
      <c r="D6" s="6" t="n">
        <v>10</v>
      </c>
      <c r="E6" s="6" t="n">
        <v>10</v>
      </c>
      <c r="F6" s="6" t="s">
        <v>131</v>
      </c>
      <c r="G6" s="4" t="s">
        <v>312</v>
      </c>
    </row>
    <row r="7" customFormat="false" ht="15" hidden="false" customHeight="false" outlineLevel="0" collapsed="false">
      <c r="A7" s="5" t="s">
        <v>313</v>
      </c>
      <c r="B7" s="7" t="s">
        <v>177</v>
      </c>
      <c r="C7" s="5" t="s">
        <v>311</v>
      </c>
      <c r="D7" s="7" t="n">
        <v>4</v>
      </c>
      <c r="E7" s="7" t="n">
        <v>4</v>
      </c>
      <c r="F7" s="7" t="s">
        <v>131</v>
      </c>
      <c r="G7" s="5" t="s">
        <v>314</v>
      </c>
    </row>
    <row r="8" customFormat="false" ht="23.85" hidden="false" customHeight="false" outlineLevel="0" collapsed="false">
      <c r="A8" s="4" t="s">
        <v>315</v>
      </c>
      <c r="B8" s="6" t="s">
        <v>181</v>
      </c>
      <c r="C8" s="4" t="s">
        <v>311</v>
      </c>
      <c r="D8" s="6" t="n">
        <v>8</v>
      </c>
      <c r="E8" s="6" t="n">
        <v>8</v>
      </c>
      <c r="F8" s="6" t="s">
        <v>131</v>
      </c>
      <c r="G8" s="4" t="s">
        <v>316</v>
      </c>
    </row>
    <row r="9" customFormat="false" ht="15" hidden="false" customHeight="false" outlineLevel="0" collapsed="false">
      <c r="A9" s="5" t="s">
        <v>317</v>
      </c>
      <c r="B9" s="7" t="s">
        <v>177</v>
      </c>
      <c r="C9" s="5" t="s">
        <v>311</v>
      </c>
      <c r="D9" s="7" t="n">
        <v>3</v>
      </c>
      <c r="E9" s="7" t="n">
        <v>3</v>
      </c>
      <c r="F9" s="7" t="s">
        <v>131</v>
      </c>
      <c r="G9" s="5" t="s">
        <v>318</v>
      </c>
    </row>
    <row r="10" customFormat="false" ht="15" hidden="false" customHeight="false" outlineLevel="0" collapsed="false">
      <c r="A10" s="4" t="s">
        <v>319</v>
      </c>
      <c r="B10" s="6" t="s">
        <v>184</v>
      </c>
      <c r="C10" s="4" t="s">
        <v>311</v>
      </c>
      <c r="D10" s="6" t="n">
        <v>6</v>
      </c>
      <c r="E10" s="6" t="n">
        <v>6</v>
      </c>
      <c r="F10" s="6" t="s">
        <v>131</v>
      </c>
      <c r="G10" s="4" t="s">
        <v>320</v>
      </c>
    </row>
    <row r="11" customFormat="false" ht="15" hidden="false" customHeight="false" outlineLevel="0" collapsed="false">
      <c r="A11" s="5" t="s">
        <v>321</v>
      </c>
      <c r="B11" s="7" t="s">
        <v>188</v>
      </c>
      <c r="C11" s="5" t="s">
        <v>322</v>
      </c>
      <c r="D11" s="7" t="n">
        <v>6</v>
      </c>
      <c r="E11" s="7" t="n">
        <v>6</v>
      </c>
      <c r="F11" s="7" t="s">
        <v>131</v>
      </c>
      <c r="G11" s="5" t="s">
        <v>323</v>
      </c>
    </row>
    <row r="12" customFormat="false" ht="15" hidden="false" customHeight="false" outlineLevel="0" collapsed="false">
      <c r="A12" s="4" t="s">
        <v>324</v>
      </c>
      <c r="B12" s="6" t="s">
        <v>188</v>
      </c>
      <c r="C12" s="4" t="s">
        <v>325</v>
      </c>
      <c r="D12" s="6" t="n">
        <v>5</v>
      </c>
      <c r="E12" s="6" t="n">
        <v>5</v>
      </c>
      <c r="F12" s="6" t="s">
        <v>131</v>
      </c>
      <c r="G12" s="4" t="s">
        <v>326</v>
      </c>
    </row>
    <row r="13" customFormat="false" ht="15" hidden="false" customHeight="false" outlineLevel="0" collapsed="false">
      <c r="A13" s="5" t="s">
        <v>327</v>
      </c>
      <c r="B13" s="7" t="s">
        <v>192</v>
      </c>
      <c r="C13" s="5" t="s">
        <v>322</v>
      </c>
      <c r="D13" s="7" t="n">
        <v>8</v>
      </c>
      <c r="E13" s="7" t="n">
        <v>6</v>
      </c>
      <c r="F13" s="7" t="s">
        <v>196</v>
      </c>
      <c r="G13" s="5" t="s">
        <v>328</v>
      </c>
    </row>
    <row r="14" customFormat="false" ht="15" hidden="false" customHeight="false" outlineLevel="0" collapsed="false">
      <c r="A14" s="4" t="s">
        <v>329</v>
      </c>
      <c r="B14" s="6" t="s">
        <v>219</v>
      </c>
      <c r="C14" s="4" t="s">
        <v>330</v>
      </c>
      <c r="D14" s="6" t="n">
        <v>6</v>
      </c>
      <c r="E14" s="6" t="n">
        <v>0</v>
      </c>
      <c r="F14" s="6" t="s">
        <v>223</v>
      </c>
      <c r="G14" s="4" t="s">
        <v>331</v>
      </c>
    </row>
    <row r="15" customFormat="false" ht="23.85" hidden="false" customHeight="false" outlineLevel="0" collapsed="false">
      <c r="A15" s="5" t="s">
        <v>332</v>
      </c>
      <c r="B15" s="7" t="s">
        <v>219</v>
      </c>
      <c r="C15" s="5" t="s">
        <v>330</v>
      </c>
      <c r="D15" s="7" t="n">
        <v>6</v>
      </c>
      <c r="E15" s="7" t="n">
        <v>0</v>
      </c>
      <c r="F15" s="7" t="s">
        <v>223</v>
      </c>
      <c r="G15" s="5" t="s">
        <v>333</v>
      </c>
    </row>
    <row r="16" customFormat="false" ht="23.85" hidden="false" customHeight="false" outlineLevel="0" collapsed="false">
      <c r="A16" s="4" t="s">
        <v>334</v>
      </c>
      <c r="B16" s="6" t="s">
        <v>219</v>
      </c>
      <c r="C16" s="4" t="s">
        <v>330</v>
      </c>
      <c r="D16" s="6" t="n">
        <v>8</v>
      </c>
      <c r="E16" s="6" t="n">
        <v>0</v>
      </c>
      <c r="F16" s="6" t="s">
        <v>223</v>
      </c>
      <c r="G16" s="4" t="s">
        <v>335</v>
      </c>
    </row>
    <row r="17" customFormat="false" ht="15" hidden="false" customHeight="false" outlineLevel="0" collapsed="false">
      <c r="A17" s="5" t="s">
        <v>336</v>
      </c>
      <c r="B17" s="7" t="s">
        <v>219</v>
      </c>
      <c r="C17" s="5" t="s">
        <v>330</v>
      </c>
      <c r="D17" s="7" t="n">
        <v>4</v>
      </c>
      <c r="E17" s="7" t="n">
        <v>4</v>
      </c>
      <c r="F17" s="7" t="s">
        <v>131</v>
      </c>
      <c r="G17" s="5" t="s">
        <v>337</v>
      </c>
    </row>
    <row r="18" customFormat="false" ht="15" hidden="false" customHeight="false" outlineLevel="0" collapsed="false">
      <c r="A18" s="4" t="s">
        <v>338</v>
      </c>
      <c r="B18" s="6" t="s">
        <v>219</v>
      </c>
      <c r="C18" s="4" t="s">
        <v>81</v>
      </c>
      <c r="D18" s="6" t="n">
        <v>12</v>
      </c>
      <c r="E18" s="6" t="n">
        <v>0</v>
      </c>
      <c r="F18" s="6" t="s">
        <v>223</v>
      </c>
      <c r="G18" s="4" t="s">
        <v>339</v>
      </c>
    </row>
    <row r="19" customFormat="false" ht="15" hidden="false" customHeight="false" outlineLevel="0" collapsed="false">
      <c r="A19" s="5" t="s">
        <v>340</v>
      </c>
      <c r="B19" s="7" t="s">
        <v>219</v>
      </c>
      <c r="C19" s="5" t="s">
        <v>81</v>
      </c>
      <c r="D19" s="7" t="n">
        <v>3</v>
      </c>
      <c r="E19" s="7" t="n">
        <v>0</v>
      </c>
      <c r="F19" s="7" t="s">
        <v>223</v>
      </c>
      <c r="G19" s="5" t="s">
        <v>341</v>
      </c>
    </row>
    <row r="21" customFormat="false" ht="15" hidden="false" customHeight="false" outlineLevel="0" collapsed="false">
      <c r="A21" s="12" t="s">
        <v>342</v>
      </c>
      <c r="D21" s="13" t="n">
        <f aca="false">SUM(D6:D19)</f>
        <v>89</v>
      </c>
      <c r="E21" s="13" t="n">
        <f aca="false">SUM(E6:E19)</f>
        <v>52</v>
      </c>
    </row>
    <row r="23" customFormat="false" ht="30" hidden="false" customHeight="true" outlineLevel="0" collapsed="false">
      <c r="A23" s="8" t="s">
        <v>343</v>
      </c>
      <c r="B23" s="8"/>
      <c r="C23" s="8"/>
      <c r="D23" s="8"/>
      <c r="E23" s="8"/>
      <c r="F23" s="8"/>
      <c r="G23" s="8"/>
    </row>
  </sheetData>
  <mergeCells count="3">
    <mergeCell ref="A2:G2"/>
    <mergeCell ref="A3:G3"/>
    <mergeCell ref="A23:G23"/>
  </mergeCells>
  <printOptions headings="false" gridLines="false" gridLinesSet="true" horizontalCentered="tru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Roles y SCRUM - Equipo 03 - Proyecto 4  |  Pagina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8"/>
  </cols>
  <sheetData>
    <row r="2" customFormat="false" ht="21.75" hidden="false" customHeight="true" outlineLevel="0" collapsed="false">
      <c r="A2" s="1" t="s">
        <v>344</v>
      </c>
      <c r="B2" s="1"/>
      <c r="C2" s="1"/>
      <c r="D2" s="1"/>
      <c r="E2" s="1"/>
      <c r="F2" s="1"/>
    </row>
    <row r="3" customFormat="false" ht="15" hidden="false" customHeight="false" outlineLevel="0" collapsed="false">
      <c r="A3" s="2" t="s">
        <v>345</v>
      </c>
      <c r="B3" s="2"/>
      <c r="C3" s="2"/>
      <c r="D3" s="2"/>
      <c r="E3" s="2"/>
      <c r="F3" s="2"/>
    </row>
    <row r="5" customFormat="false" ht="30" hidden="false" customHeight="true" outlineLevel="0" collapsed="false">
      <c r="A5" s="3" t="s">
        <v>346</v>
      </c>
      <c r="B5" s="3" t="s">
        <v>347</v>
      </c>
      <c r="C5" s="3" t="s">
        <v>348</v>
      </c>
      <c r="D5" s="3" t="s">
        <v>349</v>
      </c>
      <c r="E5" s="3" t="s">
        <v>350</v>
      </c>
    </row>
    <row r="6" customFormat="false" ht="15" hidden="false" customHeight="false" outlineLevel="0" collapsed="false">
      <c r="A6" s="4" t="s">
        <v>351</v>
      </c>
      <c r="B6" s="6" t="s">
        <v>352</v>
      </c>
      <c r="C6" s="6" t="s">
        <v>352</v>
      </c>
      <c r="D6" s="6" t="s">
        <v>352</v>
      </c>
      <c r="E6" s="6" t="s">
        <v>353</v>
      </c>
    </row>
    <row r="7" customFormat="false" ht="15" hidden="false" customHeight="false" outlineLevel="0" collapsed="false">
      <c r="A7" s="5" t="s">
        <v>354</v>
      </c>
      <c r="B7" s="7" t="s">
        <v>352</v>
      </c>
      <c r="C7" s="7" t="s">
        <v>355</v>
      </c>
      <c r="D7" s="7" t="s">
        <v>352</v>
      </c>
      <c r="E7" s="7" t="s">
        <v>356</v>
      </c>
    </row>
    <row r="8" customFormat="false" ht="15" hidden="false" customHeight="false" outlineLevel="0" collapsed="false">
      <c r="A8" s="4" t="s">
        <v>357</v>
      </c>
      <c r="B8" s="6" t="s">
        <v>353</v>
      </c>
      <c r="C8" s="6" t="s">
        <v>352</v>
      </c>
      <c r="D8" s="6" t="s">
        <v>352</v>
      </c>
      <c r="E8" s="6" t="s">
        <v>358</v>
      </c>
    </row>
    <row r="9" customFormat="false" ht="15" hidden="false" customHeight="false" outlineLevel="0" collapsed="false">
      <c r="A9" s="5" t="s">
        <v>359</v>
      </c>
      <c r="B9" s="7" t="s">
        <v>353</v>
      </c>
      <c r="C9" s="7" t="s">
        <v>352</v>
      </c>
      <c r="D9" s="7" t="s">
        <v>352</v>
      </c>
      <c r="E9" s="7" t="s">
        <v>358</v>
      </c>
    </row>
    <row r="10" customFormat="false" ht="15" hidden="false" customHeight="false" outlineLevel="0" collapsed="false">
      <c r="A10" s="4" t="s">
        <v>360</v>
      </c>
      <c r="B10" s="6" t="s">
        <v>353</v>
      </c>
      <c r="C10" s="6" t="s">
        <v>358</v>
      </c>
      <c r="D10" s="6" t="s">
        <v>352</v>
      </c>
      <c r="E10" s="6" t="s">
        <v>358</v>
      </c>
    </row>
    <row r="11" customFormat="false" ht="15" hidden="false" customHeight="false" outlineLevel="0" collapsed="false">
      <c r="A11" s="5" t="s">
        <v>361</v>
      </c>
      <c r="B11" s="7" t="s">
        <v>353</v>
      </c>
      <c r="C11" s="7" t="s">
        <v>352</v>
      </c>
      <c r="D11" s="7" t="s">
        <v>352</v>
      </c>
      <c r="E11" s="7" t="s">
        <v>358</v>
      </c>
    </row>
    <row r="12" customFormat="false" ht="15" hidden="false" customHeight="false" outlineLevel="0" collapsed="false">
      <c r="A12" s="4" t="s">
        <v>362</v>
      </c>
      <c r="B12" s="6" t="s">
        <v>352</v>
      </c>
      <c r="C12" s="6" t="s">
        <v>353</v>
      </c>
      <c r="D12" s="6" t="s">
        <v>352</v>
      </c>
      <c r="E12" s="6" t="s">
        <v>358</v>
      </c>
    </row>
    <row r="13" customFormat="false" ht="15" hidden="false" customHeight="false" outlineLevel="0" collapsed="false">
      <c r="A13" s="5" t="s">
        <v>363</v>
      </c>
      <c r="B13" s="7" t="s">
        <v>352</v>
      </c>
      <c r="C13" s="7" t="s">
        <v>352</v>
      </c>
      <c r="D13" s="7" t="s">
        <v>353</v>
      </c>
      <c r="E13" s="7" t="s">
        <v>358</v>
      </c>
    </row>
    <row r="14" customFormat="false" ht="15" hidden="false" customHeight="false" outlineLevel="0" collapsed="false">
      <c r="A14" s="4" t="s">
        <v>364</v>
      </c>
      <c r="B14" s="6" t="s">
        <v>352</v>
      </c>
      <c r="C14" s="6" t="s">
        <v>358</v>
      </c>
      <c r="D14" s="6" t="s">
        <v>353</v>
      </c>
      <c r="E14" s="6" t="s">
        <v>358</v>
      </c>
    </row>
    <row r="15" customFormat="false" ht="15" hidden="false" customHeight="false" outlineLevel="0" collapsed="false">
      <c r="A15" s="5" t="s">
        <v>365</v>
      </c>
      <c r="B15" s="7" t="s">
        <v>352</v>
      </c>
      <c r="C15" s="7" t="s">
        <v>353</v>
      </c>
      <c r="D15" s="7" t="s">
        <v>352</v>
      </c>
      <c r="E15" s="7" t="s">
        <v>352</v>
      </c>
    </row>
    <row r="16" customFormat="false" ht="15" hidden="false" customHeight="false" outlineLevel="0" collapsed="false">
      <c r="A16" s="4" t="s">
        <v>366</v>
      </c>
      <c r="B16" s="6" t="s">
        <v>358</v>
      </c>
      <c r="C16" s="6" t="s">
        <v>352</v>
      </c>
      <c r="D16" s="6" t="s">
        <v>352</v>
      </c>
      <c r="E16" s="6" t="s">
        <v>353</v>
      </c>
    </row>
    <row r="17" customFormat="false" ht="15" hidden="false" customHeight="false" outlineLevel="0" collapsed="false">
      <c r="A17" s="5" t="s">
        <v>367</v>
      </c>
      <c r="B17" s="7" t="s">
        <v>358</v>
      </c>
      <c r="C17" s="7" t="s">
        <v>352</v>
      </c>
      <c r="D17" s="7" t="s">
        <v>358</v>
      </c>
      <c r="E17" s="7" t="s">
        <v>353</v>
      </c>
    </row>
    <row r="18" customFormat="false" ht="15" hidden="false" customHeight="false" outlineLevel="0" collapsed="false">
      <c r="A18" s="4" t="s">
        <v>368</v>
      </c>
      <c r="B18" s="6" t="s">
        <v>353</v>
      </c>
      <c r="C18" s="6" t="s">
        <v>352</v>
      </c>
      <c r="D18" s="6" t="s">
        <v>352</v>
      </c>
      <c r="E18" s="6" t="s">
        <v>352</v>
      </c>
    </row>
    <row r="19" customFormat="false" ht="15" hidden="false" customHeight="false" outlineLevel="0" collapsed="false">
      <c r="A19" s="5" t="s">
        <v>369</v>
      </c>
      <c r="B19" s="7" t="s">
        <v>353</v>
      </c>
      <c r="C19" s="7" t="s">
        <v>352</v>
      </c>
      <c r="D19" s="7" t="s">
        <v>352</v>
      </c>
      <c r="E19" s="7" t="s">
        <v>358</v>
      </c>
    </row>
    <row r="20" customFormat="false" ht="15" hidden="false" customHeight="false" outlineLevel="0" collapsed="false">
      <c r="A20" s="4" t="s">
        <v>370</v>
      </c>
      <c r="B20" s="6" t="s">
        <v>353</v>
      </c>
      <c r="C20" s="6" t="s">
        <v>352</v>
      </c>
      <c r="D20" s="6" t="s">
        <v>352</v>
      </c>
      <c r="E20" s="6" t="s">
        <v>358</v>
      </c>
    </row>
    <row r="21" customFormat="false" ht="15" hidden="false" customHeight="false" outlineLevel="0" collapsed="false">
      <c r="A21" s="5" t="s">
        <v>371</v>
      </c>
      <c r="B21" s="7" t="s">
        <v>352</v>
      </c>
      <c r="C21" s="7" t="s">
        <v>352</v>
      </c>
      <c r="D21" s="7" t="s">
        <v>353</v>
      </c>
      <c r="E21" s="7" t="s">
        <v>355</v>
      </c>
    </row>
    <row r="22" customFormat="false" ht="15" hidden="false" customHeight="false" outlineLevel="0" collapsed="false">
      <c r="A22" s="4" t="s">
        <v>372</v>
      </c>
      <c r="B22" s="6" t="s">
        <v>352</v>
      </c>
      <c r="C22" s="6" t="s">
        <v>352</v>
      </c>
      <c r="D22" s="6" t="s">
        <v>352</v>
      </c>
      <c r="E22" s="6" t="s">
        <v>353</v>
      </c>
    </row>
    <row r="23" customFormat="false" ht="15" hidden="false" customHeight="false" outlineLevel="0" collapsed="false">
      <c r="A23" s="5" t="s">
        <v>373</v>
      </c>
      <c r="B23" s="7" t="s">
        <v>356</v>
      </c>
      <c r="C23" s="7" t="s">
        <v>355</v>
      </c>
      <c r="D23" s="7" t="s">
        <v>355</v>
      </c>
      <c r="E23" s="7" t="s">
        <v>355</v>
      </c>
    </row>
    <row r="25" customFormat="false" ht="30" hidden="false" customHeight="true" outlineLevel="0" collapsed="false">
      <c r="A25" s="8" t="s">
        <v>374</v>
      </c>
      <c r="B25" s="8"/>
      <c r="C25" s="8"/>
      <c r="D25" s="8"/>
      <c r="E25" s="8"/>
    </row>
  </sheetData>
  <mergeCells count="3">
    <mergeCell ref="A2:F2"/>
    <mergeCell ref="A3:F3"/>
    <mergeCell ref="A25:E25"/>
  </mergeCells>
  <printOptions headings="false" gridLines="false" gridLinesSet="true" horizontalCentered="tru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Roles y SCRUM - Equipo 03 - Proyecto 4  |  Pagina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3" min="3" style="0" width="24"/>
    <col collapsed="false" customWidth="true" hidden="false" outlineLevel="0" max="4" min="4" style="0" width="50"/>
  </cols>
  <sheetData>
    <row r="2" customFormat="false" ht="21.75" hidden="false" customHeight="true" outlineLevel="0" collapsed="false">
      <c r="A2" s="1" t="s">
        <v>110</v>
      </c>
      <c r="B2" s="1"/>
      <c r="C2" s="1"/>
      <c r="D2" s="1"/>
    </row>
    <row r="3" customFormat="false" ht="15" hidden="false" customHeight="false" outlineLevel="0" collapsed="false">
      <c r="A3" s="2" t="s">
        <v>375</v>
      </c>
      <c r="B3" s="2"/>
      <c r="C3" s="2"/>
      <c r="D3" s="2"/>
    </row>
    <row r="5" customFormat="false" ht="30" hidden="false" customHeight="true" outlineLevel="0" collapsed="false">
      <c r="A5" s="3" t="s">
        <v>376</v>
      </c>
      <c r="B5" s="3" t="s">
        <v>377</v>
      </c>
      <c r="C5" s="3" t="s">
        <v>378</v>
      </c>
      <c r="D5" s="3" t="s">
        <v>379</v>
      </c>
    </row>
    <row r="6" customFormat="false" ht="23.85" hidden="false" customHeight="false" outlineLevel="0" collapsed="false">
      <c r="A6" s="6" t="n">
        <v>1</v>
      </c>
      <c r="B6" s="4" t="s">
        <v>380</v>
      </c>
      <c r="C6" s="4" t="s">
        <v>381</v>
      </c>
      <c r="D6" s="4" t="s">
        <v>382</v>
      </c>
    </row>
    <row r="7" customFormat="false" ht="23.85" hidden="false" customHeight="false" outlineLevel="0" collapsed="false">
      <c r="A7" s="7" t="n">
        <v>2</v>
      </c>
      <c r="B7" s="5" t="s">
        <v>383</v>
      </c>
      <c r="C7" s="5" t="s">
        <v>384</v>
      </c>
      <c r="D7" s="5" t="s">
        <v>385</v>
      </c>
    </row>
    <row r="8" customFormat="false" ht="15" hidden="false" customHeight="false" outlineLevel="0" collapsed="false">
      <c r="A8" s="6" t="n">
        <v>3</v>
      </c>
      <c r="B8" s="4" t="s">
        <v>386</v>
      </c>
      <c r="C8" s="4" t="s">
        <v>381</v>
      </c>
      <c r="D8" s="4" t="s">
        <v>387</v>
      </c>
    </row>
    <row r="9" customFormat="false" ht="23.85" hidden="false" customHeight="false" outlineLevel="0" collapsed="false">
      <c r="A9" s="7" t="n">
        <v>4</v>
      </c>
      <c r="B9" s="5" t="s">
        <v>388</v>
      </c>
      <c r="C9" s="5" t="s">
        <v>389</v>
      </c>
      <c r="D9" s="5" t="s">
        <v>390</v>
      </c>
    </row>
    <row r="10" customFormat="false" ht="23.85" hidden="false" customHeight="false" outlineLevel="0" collapsed="false">
      <c r="A10" s="6" t="n">
        <v>5</v>
      </c>
      <c r="B10" s="4" t="s">
        <v>391</v>
      </c>
      <c r="C10" s="4" t="s">
        <v>392</v>
      </c>
      <c r="D10" s="4" t="s">
        <v>393</v>
      </c>
    </row>
    <row r="11" customFormat="false" ht="15" hidden="false" customHeight="false" outlineLevel="0" collapsed="false">
      <c r="A11" s="7" t="n">
        <v>6</v>
      </c>
      <c r="B11" s="5" t="s">
        <v>394</v>
      </c>
      <c r="C11" s="5" t="s">
        <v>395</v>
      </c>
      <c r="D11" s="5" t="s">
        <v>396</v>
      </c>
    </row>
    <row r="12" customFormat="false" ht="15" hidden="false" customHeight="false" outlineLevel="0" collapsed="false">
      <c r="A12" s="6" t="n">
        <v>7</v>
      </c>
      <c r="B12" s="4" t="s">
        <v>397</v>
      </c>
      <c r="C12" s="4" t="s">
        <v>381</v>
      </c>
      <c r="D12" s="4" t="s">
        <v>398</v>
      </c>
    </row>
    <row r="13" customFormat="false" ht="15" hidden="false" customHeight="false" outlineLevel="0" collapsed="false">
      <c r="A13" s="7" t="n">
        <v>8</v>
      </c>
      <c r="B13" s="5" t="s">
        <v>399</v>
      </c>
      <c r="C13" s="5" t="s">
        <v>381</v>
      </c>
      <c r="D13" s="5" t="s">
        <v>400</v>
      </c>
    </row>
    <row r="14" customFormat="false" ht="15" hidden="false" customHeight="false" outlineLevel="0" collapsed="false">
      <c r="A14" s="6" t="n">
        <v>9</v>
      </c>
      <c r="B14" s="4" t="s">
        <v>401</v>
      </c>
      <c r="C14" s="4" t="s">
        <v>381</v>
      </c>
      <c r="D14" s="4" t="s">
        <v>402</v>
      </c>
    </row>
    <row r="15" customFormat="false" ht="15" hidden="false" customHeight="false" outlineLevel="0" collapsed="false">
      <c r="A15" s="7" t="n">
        <v>10</v>
      </c>
      <c r="B15" s="5" t="s">
        <v>403</v>
      </c>
      <c r="C15" s="5" t="s">
        <v>404</v>
      </c>
      <c r="D15" s="5" t="s">
        <v>405</v>
      </c>
    </row>
  </sheetData>
  <mergeCells count="2">
    <mergeCell ref="A2:D2"/>
    <mergeCell ref="A3:D3"/>
  </mergeCells>
  <printOptions headings="false" gridLines="false" gridLinesSet="true" horizontalCentered="tru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Roles y SCRUM - Equipo 03 - Proyecto 4  |  Pagina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48"/>
    <col collapsed="false" customWidth="true" hidden="false" outlineLevel="0" max="6" min="6" style="0" width="22"/>
    <col collapsed="false" customWidth="true" hidden="false" outlineLevel="0" max="7" min="7" style="0" width="14"/>
  </cols>
  <sheetData>
    <row r="2" customFormat="false" ht="21.75" hidden="false" customHeight="true" outlineLevel="0" collapsed="false">
      <c r="A2" s="1" t="s">
        <v>406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2" t="s">
        <v>407</v>
      </c>
      <c r="B3" s="2"/>
      <c r="C3" s="2"/>
      <c r="D3" s="2"/>
      <c r="E3" s="2"/>
      <c r="F3" s="2"/>
      <c r="G3" s="2"/>
    </row>
    <row r="5" customFormat="false" ht="30" hidden="false" customHeight="true" outlineLevel="0" collapsed="false">
      <c r="A5" s="3" t="s">
        <v>117</v>
      </c>
      <c r="B5" s="3" t="s">
        <v>35</v>
      </c>
      <c r="C5" s="3" t="s">
        <v>408</v>
      </c>
      <c r="D5" s="3" t="s">
        <v>409</v>
      </c>
      <c r="E5" s="3" t="s">
        <v>410</v>
      </c>
      <c r="F5" s="3" t="s">
        <v>306</v>
      </c>
      <c r="G5" s="3" t="s">
        <v>124</v>
      </c>
    </row>
    <row r="6" customFormat="false" ht="23.85" hidden="false" customHeight="false" outlineLevel="0" collapsed="false">
      <c r="A6" s="6" t="s">
        <v>411</v>
      </c>
      <c r="B6" s="6" t="s">
        <v>412</v>
      </c>
      <c r="C6" s="4" t="s">
        <v>413</v>
      </c>
      <c r="D6" s="4" t="s">
        <v>414</v>
      </c>
      <c r="E6" s="4" t="s">
        <v>415</v>
      </c>
      <c r="F6" s="4" t="s">
        <v>325</v>
      </c>
      <c r="G6" s="6" t="s">
        <v>281</v>
      </c>
    </row>
    <row r="7" customFormat="false" ht="23.85" hidden="false" customHeight="false" outlineLevel="0" collapsed="false">
      <c r="A7" s="7" t="s">
        <v>416</v>
      </c>
      <c r="B7" s="7" t="s">
        <v>412</v>
      </c>
      <c r="C7" s="5" t="s">
        <v>413</v>
      </c>
      <c r="D7" s="5" t="s">
        <v>417</v>
      </c>
      <c r="E7" s="5" t="s">
        <v>418</v>
      </c>
      <c r="F7" s="5" t="s">
        <v>330</v>
      </c>
      <c r="G7" s="7" t="s">
        <v>419</v>
      </c>
    </row>
    <row r="8" customFormat="false" ht="23.85" hidden="false" customHeight="false" outlineLevel="0" collapsed="false">
      <c r="A8" s="6" t="s">
        <v>420</v>
      </c>
      <c r="B8" s="6" t="s">
        <v>412</v>
      </c>
      <c r="C8" s="4" t="s">
        <v>413</v>
      </c>
      <c r="D8" s="4" t="s">
        <v>421</v>
      </c>
      <c r="E8" s="4" t="s">
        <v>422</v>
      </c>
      <c r="F8" s="4" t="s">
        <v>81</v>
      </c>
      <c r="G8" s="6" t="s">
        <v>281</v>
      </c>
    </row>
    <row r="9" customFormat="false" ht="23.85" hidden="false" customHeight="false" outlineLevel="0" collapsed="false">
      <c r="A9" s="7" t="s">
        <v>423</v>
      </c>
      <c r="B9" s="7" t="s">
        <v>412</v>
      </c>
      <c r="C9" s="5" t="s">
        <v>413</v>
      </c>
      <c r="D9" s="5" t="s">
        <v>424</v>
      </c>
      <c r="E9" s="5" t="s">
        <v>425</v>
      </c>
      <c r="F9" s="5" t="s">
        <v>330</v>
      </c>
      <c r="G9" s="7" t="s">
        <v>281</v>
      </c>
    </row>
    <row r="10" customFormat="false" ht="23.85" hidden="false" customHeight="false" outlineLevel="0" collapsed="false">
      <c r="A10" s="6" t="s">
        <v>426</v>
      </c>
      <c r="B10" s="6" t="s">
        <v>412</v>
      </c>
      <c r="C10" s="4" t="s">
        <v>413</v>
      </c>
      <c r="D10" s="4" t="s">
        <v>427</v>
      </c>
      <c r="E10" s="4" t="s">
        <v>428</v>
      </c>
      <c r="F10" s="4" t="s">
        <v>81</v>
      </c>
      <c r="G10" s="6" t="s">
        <v>281</v>
      </c>
    </row>
    <row r="11" customFormat="false" ht="23.85" hidden="false" customHeight="false" outlineLevel="0" collapsed="false">
      <c r="A11" s="7" t="s">
        <v>429</v>
      </c>
      <c r="B11" s="7" t="s">
        <v>412</v>
      </c>
      <c r="C11" s="5" t="s">
        <v>413</v>
      </c>
      <c r="D11" s="5" t="s">
        <v>430</v>
      </c>
      <c r="E11" s="5" t="s">
        <v>431</v>
      </c>
      <c r="F11" s="5" t="s">
        <v>311</v>
      </c>
      <c r="G11" s="7" t="s">
        <v>281</v>
      </c>
    </row>
    <row r="12" customFormat="false" ht="23.85" hidden="false" customHeight="false" outlineLevel="0" collapsed="false">
      <c r="A12" s="6" t="s">
        <v>432</v>
      </c>
      <c r="B12" s="6" t="s">
        <v>44</v>
      </c>
      <c r="C12" s="4" t="s">
        <v>433</v>
      </c>
      <c r="D12" s="4" t="s">
        <v>434</v>
      </c>
      <c r="E12" s="4" t="s">
        <v>435</v>
      </c>
      <c r="F12" s="4" t="s">
        <v>311</v>
      </c>
      <c r="G12" s="6" t="s">
        <v>281</v>
      </c>
    </row>
    <row r="13" customFormat="false" ht="23.85" hidden="false" customHeight="false" outlineLevel="0" collapsed="false">
      <c r="A13" s="7" t="s">
        <v>436</v>
      </c>
      <c r="B13" s="7" t="s">
        <v>44</v>
      </c>
      <c r="C13" s="5" t="s">
        <v>437</v>
      </c>
      <c r="D13" s="5" t="s">
        <v>438</v>
      </c>
      <c r="E13" s="5" t="s">
        <v>439</v>
      </c>
      <c r="F13" s="5" t="s">
        <v>330</v>
      </c>
      <c r="G13" s="7" t="s">
        <v>419</v>
      </c>
    </row>
    <row r="14" customFormat="false" ht="23.85" hidden="false" customHeight="false" outlineLevel="0" collapsed="false">
      <c r="A14" s="6" t="s">
        <v>440</v>
      </c>
      <c r="B14" s="6" t="s">
        <v>44</v>
      </c>
      <c r="C14" s="4" t="s">
        <v>437</v>
      </c>
      <c r="D14" s="4" t="s">
        <v>441</v>
      </c>
      <c r="E14" s="4" t="s">
        <v>442</v>
      </c>
      <c r="F14" s="4" t="s">
        <v>330</v>
      </c>
      <c r="G14" s="6" t="s">
        <v>419</v>
      </c>
    </row>
    <row r="15" customFormat="false" ht="23.85" hidden="false" customHeight="false" outlineLevel="0" collapsed="false">
      <c r="A15" s="7" t="s">
        <v>443</v>
      </c>
      <c r="B15" s="7" t="s">
        <v>44</v>
      </c>
      <c r="C15" s="5" t="s">
        <v>433</v>
      </c>
      <c r="D15" s="5" t="s">
        <v>444</v>
      </c>
      <c r="E15" s="5" t="s">
        <v>445</v>
      </c>
      <c r="F15" s="5" t="s">
        <v>311</v>
      </c>
      <c r="G15" s="7" t="s">
        <v>419</v>
      </c>
    </row>
    <row r="17" customFormat="false" ht="30" hidden="false" customHeight="true" outlineLevel="0" collapsed="false">
      <c r="A17" s="8" t="s">
        <v>446</v>
      </c>
      <c r="B17" s="8"/>
      <c r="C17" s="8"/>
      <c r="D17" s="8"/>
      <c r="E17" s="8"/>
      <c r="F17" s="8"/>
      <c r="G17" s="8"/>
    </row>
  </sheetData>
  <mergeCells count="3">
    <mergeCell ref="A2:G2"/>
    <mergeCell ref="A3:G3"/>
    <mergeCell ref="A17:G17"/>
  </mergeCells>
  <printOptions headings="false" gridLines="false" gridLinesSet="true" horizontalCentered="tru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Roles y SCRUM - Equipo 03 - Proyecto 4  |  Pagina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2026-09-30T01:26:48Z</dcterms:created>
  <dc:creator>openpyxl</dc:creator>
  <dc:description/>
  <dc:language>en-US</dc:language>
  <cp:lastModifiedBy/>
  <dcterms:modified xsi:type="dcterms:W3CDTF">2026-09-30T01:26:48Z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